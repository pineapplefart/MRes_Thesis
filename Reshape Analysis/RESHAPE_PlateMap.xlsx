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19200" windowHeight="2100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trains" sheetId="3" state="visible" r:id="rId3"/>
    <sheet xmlns:r="http://schemas.openxmlformats.org/officeDocument/2006/relationships" name="Cellulose AmmSulf" sheetId="4" state="visible" r:id="rId4"/>
    <sheet xmlns:r="http://schemas.openxmlformats.org/officeDocument/2006/relationships" name="Coffee AmmSulf" sheetId="5" state="visible" r:id="rId5"/>
    <sheet xmlns:r="http://schemas.openxmlformats.org/officeDocument/2006/relationships" name="Dextrose AmmSulf Fresh" sheetId="6" state="visible" r:id="rId6"/>
    <sheet xmlns:r="http://schemas.openxmlformats.org/officeDocument/2006/relationships" name="Dextrose NaNO3" sheetId="7" state="visible" r:id="rId7"/>
    <sheet xmlns:r="http://schemas.openxmlformats.org/officeDocument/2006/relationships" name="Dextrose Urea" sheetId="8" state="visible" r:id="rId8"/>
    <sheet xmlns:r="http://schemas.openxmlformats.org/officeDocument/2006/relationships" name="Fructose AmmSulf" sheetId="9" state="visible" r:id="rId9"/>
    <sheet xmlns:r="http://schemas.openxmlformats.org/officeDocument/2006/relationships" name="Glycerol AmmSulf" sheetId="10" state="visible" r:id="rId10"/>
    <sheet xmlns:r="http://schemas.openxmlformats.org/officeDocument/2006/relationships" name="Molasses AmmSulf" sheetId="11" state="visible" r:id="rId11"/>
    <sheet xmlns:r="http://schemas.openxmlformats.org/officeDocument/2006/relationships" name="Xylose AmmSulf" sheetId="12" state="visible" r:id="rId12"/>
    <sheet xmlns:r="http://schemas.openxmlformats.org/officeDocument/2006/relationships" name="Dextrose AS V4" sheetId="13" state="visible" r:id="rId13"/>
    <sheet xmlns:r="http://schemas.openxmlformats.org/officeDocument/2006/relationships" name="Dextrose AS Agarose" sheetId="14" state="visible" r:id="rId14"/>
    <sheet xmlns:r="http://schemas.openxmlformats.org/officeDocument/2006/relationships" name="Glutamate AmmSulf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b val="1"/>
      <sz val="15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2"/>
    </font>
    <font>
      <name val="Arial"/>
      <family val="2"/>
      <b val="1"/>
      <sz val="13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1"/>
    </font>
    <font>
      <name val="Consolas"/>
      <family val="2"/>
      <color rgb="FF404040"/>
      <sz val="9"/>
    </font>
    <font>
      <name val="Arial"/>
      <family val="2"/>
      <i val="1"/>
      <color rgb="FF548235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3"/>
    </font>
    <font>
      <name val="Arial"/>
      <family val="2"/>
      <i val="1"/>
      <color rgb="FF808080"/>
      <sz val="9"/>
    </font>
    <font>
      <name val="Arial"/>
      <family val="2"/>
      <i val="1"/>
      <color rgb="FF548235"/>
      <sz val="10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3"/>
    </font>
    <font>
      <name val="Arial"/>
      <family val="2"/>
      <i val="1"/>
      <color rgb="FF808080"/>
      <sz val="9"/>
    </font>
    <font>
      <name val="Arial"/>
      <family val="2"/>
      <i val="1"/>
      <color rgb="FF548235"/>
      <sz val="10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FFFFFF"/>
      <sz val="11"/>
    </font>
    <font>
      <name val="Arial"/>
      <family val="2"/>
      <sz val="11"/>
    </font>
  </fonts>
  <fills count="2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FFFF99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FFFF99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FFFF99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FFFF99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FFFF99"/>
      </patternFill>
    </fill>
    <fill>
      <patternFill patternType="solid">
        <fgColor rgb="00FFFF99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8" fillId="0" borderId="0" pivotButton="0" quotePrefix="0" xfId="0"/>
    <xf numFmtId="0" fontId="9" fillId="5" borderId="1" pivotButton="0" quotePrefix="0" xfId="0"/>
    <xf numFmtId="0" fontId="3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49" fontId="2" fillId="4" borderId="1" pivotButton="0" quotePrefix="0" xfId="0"/>
    <xf numFmtId="0" fontId="12" fillId="6" borderId="3" applyAlignment="1" pivotButton="0" quotePrefix="0" xfId="0">
      <alignment horizontal="center" vertical="center" wrapText="1"/>
    </xf>
    <xf numFmtId="0" fontId="13" fillId="8" borderId="3" pivotButton="0" quotePrefix="0" xfId="0"/>
    <xf numFmtId="0" fontId="13" fillId="8" borderId="3" applyAlignment="1" pivotButton="0" quotePrefix="0" xfId="0">
      <alignment horizontal="center"/>
    </xf>
    <xf numFmtId="0" fontId="13" fillId="7" borderId="3" pivotButton="0" quotePrefix="0" xfId="0"/>
    <xf numFmtId="0" fontId="0" fillId="8" borderId="3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9" borderId="3" pivotButton="0" quotePrefix="0" xfId="0"/>
    <xf numFmtId="0" fontId="17" fillId="7" borderId="3" applyAlignment="1" pivotButton="0" quotePrefix="0" xfId="0">
      <alignment horizontal="center"/>
    </xf>
    <xf numFmtId="0" fontId="13" fillId="7" borderId="3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3" fillId="0" borderId="3" applyAlignment="1" pivotButton="0" quotePrefix="0" xfId="0">
      <alignment horizontal="left"/>
    </xf>
    <xf numFmtId="0" fontId="17" fillId="7" borderId="4" applyAlignment="1" pivotButton="0" quotePrefix="0" xfId="0">
      <alignment horizontal="center"/>
    </xf>
    <xf numFmtId="0" fontId="13" fillId="7" borderId="4" applyAlignment="1" pivotButton="0" quotePrefix="0" xfId="0">
      <alignment horizontal="center"/>
    </xf>
    <xf numFmtId="0" fontId="13" fillId="8" borderId="4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3" fillId="0" borderId="4" applyAlignment="1" pivotButton="0" quotePrefix="0" xfId="0">
      <alignment horizontal="left"/>
    </xf>
    <xf numFmtId="0" fontId="17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/>
    </xf>
    <xf numFmtId="0" fontId="2" fillId="8" borderId="3" applyAlignment="1" pivotButton="0" quotePrefix="0" xfId="0">
      <alignment horizontal="center"/>
    </xf>
    <xf numFmtId="0" fontId="20" fillId="10" borderId="5" applyAlignment="1" pivotButton="0" quotePrefix="0" xfId="0">
      <alignment horizontal="center" vertical="center" wrapText="1"/>
    </xf>
    <xf numFmtId="0" fontId="21" fillId="11" borderId="5" pivotButton="0" quotePrefix="0" xfId="0"/>
    <xf numFmtId="0" fontId="22" fillId="12" borderId="6" applyAlignment="1" pivotButton="0" quotePrefix="0" xfId="0">
      <alignment horizontal="center" vertical="center" wrapText="1"/>
    </xf>
    <xf numFmtId="0" fontId="23" fillId="13" borderId="6" applyAlignment="1" pivotButton="0" quotePrefix="0" xfId="0">
      <alignment horizontal="center"/>
    </xf>
    <xf numFmtId="0" fontId="23" fillId="14" borderId="6" applyAlignment="1" pivotButton="0" quotePrefix="0" xfId="0">
      <alignment horizontal="center"/>
    </xf>
    <xf numFmtId="0" fontId="23" fillId="15" borderId="6" pivotButton="0" quotePrefix="0" xfId="0"/>
    <xf numFmtId="0" fontId="23" fillId="14" borderId="6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16" borderId="6" pivotButton="0" quotePrefix="0" xfId="0"/>
    <xf numFmtId="0" fontId="27" fillId="15" borderId="6" applyAlignment="1" pivotButton="0" quotePrefix="0" xfId="0">
      <alignment horizontal="center"/>
    </xf>
    <xf numFmtId="0" fontId="23" fillId="15" borderId="6" applyAlignment="1" pivotButton="0" quotePrefix="0" xfId="0">
      <alignment horizontal="center"/>
    </xf>
    <xf numFmtId="0" fontId="23" fillId="0" borderId="6" applyAlignment="1" pivotButton="0" quotePrefix="0" xfId="0">
      <alignment horizontal="center"/>
    </xf>
    <xf numFmtId="0" fontId="23" fillId="0" borderId="6" applyAlignment="1" pivotButton="0" quotePrefix="0" xfId="0">
      <alignment horizontal="left"/>
    </xf>
    <xf numFmtId="0" fontId="27" fillId="15" borderId="7" applyAlignment="1" pivotButton="0" quotePrefix="0" xfId="0">
      <alignment horizontal="center"/>
    </xf>
    <xf numFmtId="0" fontId="23" fillId="15" borderId="7" applyAlignment="1" pivotButton="0" quotePrefix="0" xfId="0">
      <alignment horizontal="center"/>
    </xf>
    <xf numFmtId="0" fontId="23" fillId="14" borderId="7" applyAlignment="1" pivotButton="0" quotePrefix="0" xfId="0">
      <alignment horizontal="center"/>
    </xf>
    <xf numFmtId="0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left"/>
    </xf>
    <xf numFmtId="0" fontId="27" fillId="0" borderId="0" pivotButton="0" quotePrefix="0" xfId="0"/>
    <xf numFmtId="0" fontId="28" fillId="0" borderId="0" pivotButton="0" quotePrefix="0" xfId="0"/>
    <xf numFmtId="0" fontId="29" fillId="0" borderId="0" applyAlignment="1" pivotButton="0" quotePrefix="0" xfId="0">
      <alignment horizontal="center"/>
    </xf>
    <xf numFmtId="0" fontId="30" fillId="17" borderId="8" applyAlignment="1" pivotButton="0" quotePrefix="0" xfId="0">
      <alignment horizontal="center" vertical="center" wrapText="1"/>
    </xf>
    <xf numFmtId="0" fontId="31" fillId="18" borderId="8" applyAlignment="1" pivotButton="0" quotePrefix="0" xfId="0">
      <alignment horizontal="center"/>
    </xf>
    <xf numFmtId="0" fontId="23" fillId="19" borderId="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topLeftCell="A38" workbookViewId="0">
      <selection activeCell="A23" sqref="A23"/>
    </sheetView>
  </sheetViews>
  <sheetFormatPr baseColWidth="10" defaultColWidth="8.83203125" defaultRowHeight="15"/>
  <cols>
    <col width="108" customWidth="1" min="1" max="1"/>
    <col width="20" customWidth="1" min="2" max="2"/>
  </cols>
  <sheetData>
    <row r="1" ht="19" customHeight="1">
      <c r="A1" s="1" t="inlineStr">
        <is>
          <t>RESHAPE plate map — Rhizopus microsporus radial growth</t>
        </is>
      </c>
    </row>
    <row r="2">
      <c r="A2" s="2" t="n"/>
    </row>
    <row r="3">
      <c r="A3" s="3" t="inlineStr">
        <is>
          <t>WHAT THIS FILE IS</t>
        </is>
      </c>
    </row>
    <row r="4">
      <c r="A4" s="2" t="inlineStr">
        <is>
          <t>One sheet per experiment. Each sheet lists the 15 plate positions (A1-E3) in the RESHAPE RI92 tray</t>
        </is>
      </c>
    </row>
    <row r="5">
      <c r="A5" s="2" t="inlineStr">
        <is>
          <t>and says what was in each one. The Python pipeline reads this to label every image folder.</t>
        </is>
      </c>
    </row>
    <row r="6">
      <c r="A6" s="2" t="n"/>
    </row>
    <row r="7">
      <c r="A7" s="3" t="inlineStr">
        <is>
          <t>HOW TO FILL IT IN</t>
        </is>
      </c>
    </row>
    <row r="8">
      <c r="A8" s="2" t="inlineStr">
        <is>
          <t>1. Fill the Strains sheet first with your 4 strain IDs (they feed the Strain dropdowns).</t>
        </is>
      </c>
    </row>
    <row r="9">
      <c r="A9" s="2" t="inlineStr">
        <is>
          <t>2. Open the sheet for an experiment. Grey columns (Plate / Grid_Row / Grid_Col) are fixed — do not edit.</t>
        </is>
      </c>
    </row>
    <row r="10">
      <c r="A10" s="2" t="inlineStr">
        <is>
          <t>3. Fill the yellow columns from your phone photo of that tray:</t>
        </is>
      </c>
    </row>
    <row r="11">
      <c r="A11" s="2" t="inlineStr">
        <is>
          <t xml:space="preserve">      Role      - what the plate is. Dropdown:</t>
        </is>
      </c>
    </row>
    <row r="12">
      <c r="A12" s="2" t="inlineStr">
        <is>
          <t xml:space="preserve">                     sample                  = spores + full experimental medium (expect 12)</t>
        </is>
      </c>
    </row>
    <row r="13">
      <c r="A13" s="2" t="inlineStr">
        <is>
          <t xml:space="preserve">                     water                   = water only (expect 1)</t>
        </is>
      </c>
    </row>
    <row r="14">
      <c r="A14" s="2" t="inlineStr">
        <is>
          <t xml:space="preserve">                     contamination_control   = experimental medium, NO spores (expect 1)</t>
        </is>
      </c>
    </row>
    <row r="15">
      <c r="A15" s="2" t="inlineStr">
        <is>
          <t xml:space="preserve">                     minus_variable_control  = spores + medium missing the variable component (expect 1)</t>
        </is>
      </c>
    </row>
    <row r="16">
      <c r="A16" s="2" t="inlineStr">
        <is>
          <t xml:space="preserve">                                               e.g. dextrose + YNB but no ammonium sulfate</t>
        </is>
      </c>
    </row>
    <row r="17">
      <c r="A17" s="2" t="inlineStr">
        <is>
          <t xml:space="preserve">      Strain    - dropdown from the Strains sheet. Leave blank for water / contamination_control.</t>
        </is>
      </c>
    </row>
    <row r="18">
      <c r="A18" s="2" t="inlineStr">
        <is>
          <t xml:space="preserve">      Replicate - 1, 2 or 3. Leave blank for controls.</t>
        </is>
      </c>
    </row>
    <row r="19">
      <c r="A19" s="2" t="inlineStr">
        <is>
          <t xml:space="preserve">      Spores    - Y / N. Y for sample and minus_variable_control, N for water and contamination_control.</t>
        </is>
      </c>
    </row>
    <row r="20">
      <c r="A20" s="2" t="inlineStr">
        <is>
          <t xml:space="preserve">      Include   - Y / N. Set to N to drop a plate from analysis (contaminated, lid fogged, etc.).</t>
        </is>
      </c>
    </row>
    <row r="21">
      <c r="A21" s="2" t="inlineStr">
        <is>
          <t xml:space="preserve">      Baseline_Frame - usually leave BLANK. See 'CONDENSATION' below.</t>
        </is>
      </c>
    </row>
    <row r="22">
      <c r="A22" s="2" t="inlineStr">
        <is>
          <t xml:space="preserve">      Notes     - free text, optional.</t>
        </is>
      </c>
    </row>
    <row r="23">
      <c r="A23" s="2" t="inlineStr">
        <is>
          <t>4. Check the sanity block below each table reads 15 / 12 / 1 / 1 / 1 / 4.</t>
        </is>
      </c>
    </row>
    <row r="24">
      <c r="A24" s="2" t="n"/>
    </row>
    <row r="25">
      <c r="A25" s="2" t="inlineStr">
        <is>
          <t>CONDENSATION (Baseline_Frame)</t>
        </is>
      </c>
    </row>
    <row r="26">
      <c r="A26" s="2" t="inlineStr">
        <is>
          <t>Growth is measured as the difference from a 'clean' background frame. If a plate still has</t>
        </is>
      </c>
    </row>
    <row r="27">
      <c r="A27" s="2" t="inlineStr">
        <is>
          <t>condensation at the start, the clean frame has to be a later one or the condensation clearing</t>
        </is>
      </c>
    </row>
    <row r="28">
      <c r="A28" s="2" t="inlineStr">
        <is>
          <t>gets counted as growth.</t>
        </is>
      </c>
    </row>
    <row r="29">
      <c r="A29" s="2" t="inlineStr">
        <is>
          <t>By default the pipeline detects this per plate: it finds when the image stops changing rapidly</t>
        </is>
      </c>
    </row>
    <row r="30">
      <c r="A30" s="2" t="inlineStr">
        <is>
          <t>and uses the first settled frame. Leave Baseline_Frame BLANK to accept that.</t>
        </is>
      </c>
    </row>
    <row r="31">
      <c r="A31" s="2" t="inlineStr">
        <is>
          <t>Override it only when the automatic choice looks wrong in the QC overlays. 1 frame = 30 min,</t>
        </is>
      </c>
    </row>
    <row r="32">
      <c r="A32" s="2" t="inlineStr">
        <is>
          <t>so 2 = 1 h and 4 = 2 h. Frames before the baseline are dropped from that plate's curve.</t>
        </is>
      </c>
    </row>
    <row r="33">
      <c r="A33" s="2" t="n"/>
    </row>
    <row r="34">
      <c r="A34" s="2" t="inlineStr">
        <is>
          <t>LATE STARTS (Start_Offset_h, on the Experiments sheet)</t>
        </is>
      </c>
    </row>
    <row r="35">
      <c r="A35" s="2" t="inlineStr">
        <is>
          <t>All plotted times are hours since the plates went into the RI92, not since the first photo,</t>
        </is>
      </c>
    </row>
    <row r="36">
      <c r="A36" s="2" t="inlineStr">
        <is>
          <t>so experiments where capture started late still line up with the rest. Already filled in:</t>
        </is>
      </c>
    </row>
    <row r="37">
      <c r="A37" s="2" t="inlineStr">
        <is>
          <t xml:space="preserve">   Dextrose Sodium Nitrate  1.5 h</t>
        </is>
      </c>
    </row>
    <row r="38">
      <c r="A38" s="2" t="inlineStr">
        <is>
          <t xml:space="preserve">   Coffee Ammonium Sulfate  4.0 h</t>
        </is>
      </c>
    </row>
    <row r="39">
      <c r="A39" s="2" t="inlineStr">
        <is>
          <t>Correct these, or add offsets for other experiments, on the Experiments sheet.</t>
        </is>
      </c>
    </row>
    <row r="40">
      <c r="A40" s="2" t="n"/>
    </row>
    <row r="41">
      <c r="A41" s="3" t="inlineStr">
        <is>
          <t>IMPORTANT</t>
        </is>
      </c>
    </row>
    <row r="42">
      <c r="A42" s="2" t="inlineStr">
        <is>
          <t>Plate positions are randomised between experiments, so fill in EVERY sheet separately.</t>
        </is>
      </c>
    </row>
    <row r="43">
      <c r="A43" s="2" t="inlineStr">
        <is>
          <t>Do not rename the sheets — the Experiments sheet maps each data folder to its sheet name.</t>
        </is>
      </c>
    </row>
    <row r="44">
      <c r="A44" s="2" t="inlineStr">
        <is>
          <t>Row 4 of each sheet is a green worked example; the loader ignores it, so you can leave it in place.</t>
        </is>
      </c>
    </row>
    <row r="45">
      <c r="A45" s="2" t="n"/>
    </row>
    <row r="46">
      <c r="A46" s="2" t="inlineStr">
        <is>
          <t>TRAY LAYOUT — 3 rows x 5 columns</t>
        </is>
      </c>
    </row>
    <row r="47">
      <c r="A47" s="2" t="inlineStr">
        <is>
          <t>In a plate code the LETTER is the column (A-E) and the DIGIT is the row (1-3):</t>
        </is>
      </c>
    </row>
    <row r="48">
      <c r="A48" s="2" t="n"/>
    </row>
    <row r="49">
      <c r="A49" s="2" t="inlineStr">
        <is>
          <t xml:space="preserve">            col A    col B    col C    col D    col E</t>
        </is>
      </c>
    </row>
    <row r="50">
      <c r="A50" s="2" t="inlineStr">
        <is>
          <t xml:space="preserve">   row 1  |  A1   |  B1   |  C1   |  D1   |  E1   |</t>
        </is>
      </c>
    </row>
    <row r="51">
      <c r="A51" s="2" t="inlineStr">
        <is>
          <t xml:space="preserve">   row 2  |  A2   |  B2   |  C2   |  D2   |  E2   |</t>
        </is>
      </c>
    </row>
    <row r="52">
      <c r="A52" s="2" t="inlineStr">
        <is>
          <t xml:space="preserve">   row 3  |  A3   |  B3   |  C3   |  D3   |  E3   |</t>
        </is>
      </c>
    </row>
    <row r="53">
      <c r="A53" s="2" t="n"/>
    </row>
    <row r="54">
      <c r="A54" s="2" t="inlineStr">
        <is>
          <t>Each experiment sheet lists the plates in that reading order — left to right along row 1,</t>
        </is>
      </c>
    </row>
    <row r="55">
      <c r="A55" s="2" t="inlineStr">
        <is>
          <t>then row 2, then row 3 — with a rule between rows, so it matches a photo of the tray.</t>
        </is>
      </c>
    </row>
    <row r="56">
      <c r="A56" s="2" t="inlineStr">
        <is>
          <t>Check the orientation against one of your photos: if your photo is rotated relative to this,</t>
        </is>
      </c>
    </row>
    <row r="57">
      <c r="A57" s="2" t="inlineStr">
        <is>
          <t>go by the plate codes rather than by position, since the codes come from the RI92 itself.</t>
        </is>
      </c>
    </row>
    <row r="58">
      <c r="A58" s="2" t="n"/>
    </row>
    <row r="59">
      <c r="A59" s="2" t="inlineStr">
        <is>
          <t>ASSUMPTIONS I MADE (change them if wrong)</t>
        </is>
      </c>
    </row>
    <row r="60">
      <c r="A60" s="2" t="inlineStr">
        <is>
          <t>- 4 strains x 3 replicates = 12 sample plates per experiment.</t>
        </is>
      </c>
    </row>
    <row r="61">
      <c r="A61" s="2" t="inlineStr">
        <is>
          <t>- The minus-variable control is inoculated with spores; the contamination control is not.</t>
        </is>
      </c>
    </row>
    <row r="62">
      <c r="A62" s="2" t="inlineStr">
        <is>
          <t>- Frame interval 30 min, 96 frames = 48 h (confirmed: each plate folder holds frames 0-95).</t>
        </is>
      </c>
    </row>
    <row r="65" ht="16" customHeight="1">
      <c r="A65" s="4" t="inlineStr">
        <is>
          <t>PROGRESS</t>
        </is>
      </c>
    </row>
    <row r="66">
      <c r="A66" s="3" t="inlineStr">
        <is>
          <t>Experiment sheet</t>
        </is>
      </c>
      <c r="B66" s="3" t="inlineStr">
        <is>
          <t>Roles filled (of 15)</t>
        </is>
      </c>
    </row>
    <row r="67">
      <c r="A67" s="2" t="inlineStr">
        <is>
          <t>Cellulose AmmSulf</t>
        </is>
      </c>
      <c r="B67" s="5">
        <f>COUNTA('Cellulose AmmSulf'!$D$5:$D$14)</f>
        <v/>
      </c>
    </row>
    <row r="68">
      <c r="A68" s="2" t="inlineStr">
        <is>
          <t>Coffee AmmSulf</t>
        </is>
      </c>
      <c r="B68" s="5">
        <f>COUNTA('Coffee AmmSulf'!$D$5:$D$14)</f>
        <v/>
      </c>
    </row>
    <row r="69">
      <c r="A69" s="2" t="inlineStr">
        <is>
          <t>Dextrose AmmSulf Fresh</t>
        </is>
      </c>
      <c r="B69" s="5">
        <f>COUNTA('Dextrose AmmSulf Fresh'!$D$5:$D$14)</f>
        <v/>
      </c>
    </row>
    <row r="70">
      <c r="A70" s="2" t="inlineStr">
        <is>
          <t>Dextrose NaNO3</t>
        </is>
      </c>
      <c r="B70" s="5">
        <f>COUNTA('Dextrose NaNO3'!$D$5:$D$14)</f>
        <v/>
      </c>
    </row>
    <row r="71">
      <c r="A71" s="2" t="inlineStr">
        <is>
          <t>Dextrose Urea</t>
        </is>
      </c>
      <c r="B71" s="5">
        <f>COUNTA('Dextrose Urea'!$D$5:$D$14)</f>
        <v/>
      </c>
    </row>
    <row r="72">
      <c r="A72" s="2" t="inlineStr">
        <is>
          <t>Fructose AmmSulf</t>
        </is>
      </c>
      <c r="B72" s="5">
        <f>COUNTA('Fructose AmmSulf'!$D$5:$D$14)</f>
        <v/>
      </c>
    </row>
    <row r="73">
      <c r="A73" s="2" t="inlineStr">
        <is>
          <t>Glycerol AmmSulf</t>
        </is>
      </c>
      <c r="B73" s="5">
        <f>COUNTA('Glycerol AmmSulf'!$D$5:$D$14)</f>
        <v/>
      </c>
    </row>
    <row r="74">
      <c r="A74" s="2" t="inlineStr">
        <is>
          <t>Molasses AmmSulf</t>
        </is>
      </c>
      <c r="B74" s="5">
        <f>COUNTA('Molasses AmmSulf'!$D$5:$D$14)</f>
        <v/>
      </c>
    </row>
    <row r="75">
      <c r="A75" s="2" t="inlineStr">
        <is>
          <t>Xylose AmmSulf</t>
        </is>
      </c>
      <c r="B75" s="5">
        <f>COUNTA('Xylose AmmSulf'!$D$5:$D$14)</f>
        <v/>
      </c>
    </row>
    <row r="76">
      <c r="A76" s="3" t="inlineStr">
        <is>
          <t>TOTAL (of 135)</t>
        </is>
      </c>
      <c r="B76" s="6">
        <f>SUM(B67:B75)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topLeftCell="G1" workbookViewId="0">
      <pane ySplit="3" topLeftCell="A4" activePane="bottomLeft" state="frozen"/>
      <selection pane="bottomLeft" activeCell="J30" sqref="J30"/>
    </sheetView>
  </sheetViews>
  <sheetFormatPr baseColWidth="10" defaultColWidth="8.83203125" defaultRowHeight="15"/>
  <cols>
    <col width="40" customWidth="1" min="1" max="1"/>
    <col width="26" customWidth="1" min="2" max="2"/>
    <col width="18" customWidth="1" min="3" max="3"/>
    <col width="20" customWidth="1" min="4" max="4"/>
    <col width="15" customWidth="1" min="5" max="7"/>
    <col width="46" customWidth="1" min="8" max="8"/>
    <col width="30" customWidth="1" min="9" max="9"/>
    <col width="14" customWidth="1" min="10" max="10"/>
    <col width="24" customWidth="1" min="11" max="11"/>
    <col width="16" customWidth="1" min="12" max="12"/>
    <col width="13" customWidth="1" min="13" max="13"/>
  </cols>
  <sheetData>
    <row r="1" ht="17" customHeight="1">
      <c r="A1" s="7" t="inlineStr">
        <is>
          <t>Folder -&gt; sheet lookup used by the Python loader</t>
        </is>
      </c>
    </row>
    <row r="2">
      <c r="A2" s="8" t="inlineStr">
        <is>
          <t>Data_Folder must match the folder name on disk exactly (the folder inside each zip). Sheet_Name must match a tab in this workbook. Yellow columns are editable.</t>
        </is>
      </c>
    </row>
    <row r="3" ht="28" customHeight="1">
      <c r="A3" s="9" t="inlineStr">
        <is>
          <t>Data_Folder</t>
        </is>
      </c>
      <c r="B3" s="9" t="inlineStr">
        <is>
          <t>Sheet_Name</t>
        </is>
      </c>
      <c r="C3" s="9" t="inlineStr">
        <is>
          <t>Carbon_Source</t>
        </is>
      </c>
      <c r="D3" s="9" t="inlineStr">
        <is>
          <t>Nitrogen_Source</t>
        </is>
      </c>
      <c r="E3" s="9" t="inlineStr">
        <is>
          <t>Start_Offset_h</t>
        </is>
      </c>
      <c r="F3" s="9" t="inlineStr">
        <is>
          <t>Baseline_Frame</t>
        </is>
      </c>
      <c r="G3" s="9" t="inlineStr">
        <is>
          <t>Date_Started</t>
        </is>
      </c>
      <c r="H3" s="9" t="inlineStr">
        <is>
          <t>Notes</t>
        </is>
      </c>
      <c r="I3" s="28" t="inlineStr">
        <is>
          <t>Condition</t>
        </is>
      </c>
      <c r="J3" s="28" t="inlineStr">
        <is>
          <t>Bio_Replicate</t>
        </is>
      </c>
      <c r="K3" s="49" t="inlineStr">
        <is>
          <t>Minus_Control_Omits</t>
        </is>
      </c>
      <c r="L3" s="51" t="inlineStr">
        <is>
          <t>Gelling_Agent</t>
        </is>
      </c>
      <c r="M3" s="71" t="inlineStr">
        <is>
          <t>Last_Frame</t>
        </is>
      </c>
    </row>
    <row r="4">
      <c r="A4" s="10" t="inlineStr">
        <is>
          <t>Cellulose Ammonium Sulfate</t>
        </is>
      </c>
      <c r="B4" s="10" t="inlineStr">
        <is>
          <t>Cellulose AmmSulf</t>
        </is>
      </c>
      <c r="C4" s="10" t="inlineStr">
        <is>
          <t>Cellulose</t>
        </is>
      </c>
      <c r="D4" s="10" t="inlineStr">
        <is>
          <t>Ammonium sulfate</t>
        </is>
      </c>
      <c r="E4" s="11" t="n">
        <v>0</v>
      </c>
      <c r="F4" s="11" t="inlineStr">
        <is>
          <t>auto</t>
        </is>
      </c>
      <c r="G4" s="12" t="n"/>
      <c r="H4" s="12" t="inlineStr">
        <is>
          <t>Agarose</t>
        </is>
      </c>
      <c r="I4" s="29" t="n"/>
      <c r="J4" s="30" t="n"/>
      <c r="K4" s="50" t="inlineStr">
        <is>
          <t>Cellulose</t>
        </is>
      </c>
      <c r="L4" s="73" t="inlineStr">
        <is>
          <t>agar</t>
        </is>
      </c>
      <c r="M4" s="72" t="n"/>
    </row>
    <row r="5">
      <c r="A5" s="10" t="inlineStr">
        <is>
          <t>Coffee Ammonium Sulfate</t>
        </is>
      </c>
      <c r="B5" s="10" t="inlineStr">
        <is>
          <t>Coffee AmmSulf</t>
        </is>
      </c>
      <c r="C5" s="10" t="inlineStr">
        <is>
          <t>Coffee</t>
        </is>
      </c>
      <c r="D5" s="10" t="inlineStr">
        <is>
          <t>Ammonium sulfate</t>
        </is>
      </c>
      <c r="E5" s="13" t="n">
        <v>4</v>
      </c>
      <c r="F5" s="11" t="inlineStr">
        <is>
          <t>auto</t>
        </is>
      </c>
      <c r="G5" s="12" t="n"/>
      <c r="H5" s="12" t="inlineStr">
        <is>
          <t>Timelapse started 4 h after plates went into the RI92, Agar</t>
        </is>
      </c>
      <c r="I5" s="29" t="n"/>
      <c r="J5" s="30" t="n"/>
      <c r="K5" s="50" t="inlineStr">
        <is>
          <t>Coffee</t>
        </is>
      </c>
      <c r="L5" s="73" t="inlineStr">
        <is>
          <t>agar</t>
        </is>
      </c>
      <c r="M5" s="72" t="n"/>
    </row>
    <row r="6">
      <c r="A6" s="10" t="inlineStr">
        <is>
          <t>Dextrose Ammonium Sulfate Fresh Spores</t>
        </is>
      </c>
      <c r="B6" s="10" t="inlineStr">
        <is>
          <t>Dextrose AmmSulf Fresh</t>
        </is>
      </c>
      <c r="C6" s="10" t="inlineStr">
        <is>
          <t>Dextrose</t>
        </is>
      </c>
      <c r="D6" s="10" t="inlineStr">
        <is>
          <t>Ammonium sulfate</t>
        </is>
      </c>
      <c r="E6" s="11" t="n">
        <v>0</v>
      </c>
      <c r="F6" s="11" t="inlineStr">
        <is>
          <t>auto</t>
        </is>
      </c>
      <c r="G6" s="12" t="n"/>
      <c r="H6" s="12" t="inlineStr">
        <is>
          <t>Agar</t>
        </is>
      </c>
      <c r="I6" s="29" t="inlineStr">
        <is>
          <t>Dextrose + Ammonium Sulfate</t>
        </is>
      </c>
      <c r="J6" s="30" t="n">
        <v>1</v>
      </c>
      <c r="K6" s="50" t="inlineStr">
        <is>
          <t>Ammonium sulfate</t>
        </is>
      </c>
      <c r="L6" s="73" t="inlineStr">
        <is>
          <t>agar</t>
        </is>
      </c>
      <c r="M6" s="72" t="n"/>
    </row>
    <row r="7">
      <c r="A7" s="10" t="inlineStr">
        <is>
          <t>Dextrose Sodium Nitrate</t>
        </is>
      </c>
      <c r="B7" s="10" t="inlineStr">
        <is>
          <t>Dextrose NaNO3</t>
        </is>
      </c>
      <c r="C7" s="10" t="inlineStr">
        <is>
          <t>Dextrose</t>
        </is>
      </c>
      <c r="D7" s="10" t="inlineStr">
        <is>
          <t>Sodium nitrate</t>
        </is>
      </c>
      <c r="E7" s="13" t="n">
        <v>1.5</v>
      </c>
      <c r="F7" s="11" t="inlineStr">
        <is>
          <t>auto</t>
        </is>
      </c>
      <c r="G7" s="12" t="n"/>
      <c r="H7" s="12" t="inlineStr">
        <is>
          <t>Timelapse started 1 h 30 min after plates went into the RI92, Agarose</t>
        </is>
      </c>
      <c r="I7" s="29" t="n"/>
      <c r="J7" s="30" t="n"/>
      <c r="K7" s="50" t="inlineStr">
        <is>
          <t>Sodium nitrate</t>
        </is>
      </c>
      <c r="L7" s="73" t="inlineStr">
        <is>
          <t>agarose</t>
        </is>
      </c>
      <c r="M7" s="72" t="n"/>
    </row>
    <row r="8">
      <c r="A8" s="10" t="inlineStr">
        <is>
          <t>Dextrose Urea</t>
        </is>
      </c>
      <c r="B8" s="10" t="inlineStr">
        <is>
          <t>Dextrose Urea</t>
        </is>
      </c>
      <c r="C8" s="10" t="inlineStr">
        <is>
          <t>Dextrose</t>
        </is>
      </c>
      <c r="D8" s="10" t="inlineStr">
        <is>
          <t>Urea</t>
        </is>
      </c>
      <c r="E8" s="11" t="n">
        <v>0</v>
      </c>
      <c r="F8" s="11" t="inlineStr">
        <is>
          <t>auto</t>
        </is>
      </c>
      <c r="G8" s="12" t="n"/>
      <c r="H8" s="12" t="inlineStr">
        <is>
          <t>Agarose</t>
        </is>
      </c>
      <c r="I8" s="29" t="n"/>
      <c r="J8" s="30" t="n"/>
      <c r="K8" s="50" t="inlineStr">
        <is>
          <t>Urea</t>
        </is>
      </c>
      <c r="L8" s="73" t="inlineStr">
        <is>
          <t>agarose</t>
        </is>
      </c>
      <c r="M8" s="72" t="n"/>
    </row>
    <row r="9">
      <c r="A9" s="10" t="inlineStr">
        <is>
          <t>Fructose Ammonium Sulfate</t>
        </is>
      </c>
      <c r="B9" s="10" t="inlineStr">
        <is>
          <t>Fructose AmmSulf</t>
        </is>
      </c>
      <c r="C9" s="10" t="inlineStr">
        <is>
          <t>Fructose</t>
        </is>
      </c>
      <c r="D9" s="10" t="inlineStr">
        <is>
          <t>Ammonium sulfate</t>
        </is>
      </c>
      <c r="E9" s="11" t="n">
        <v>0</v>
      </c>
      <c r="F9" s="11" t="inlineStr">
        <is>
          <t>auto</t>
        </is>
      </c>
      <c r="G9" s="12" t="n"/>
      <c r="H9" s="12" t="inlineStr">
        <is>
          <t>Agar</t>
        </is>
      </c>
      <c r="I9" s="29" t="n"/>
      <c r="J9" s="30" t="n"/>
      <c r="K9" s="50" t="inlineStr">
        <is>
          <t>Fructose</t>
        </is>
      </c>
      <c r="L9" s="73" t="inlineStr">
        <is>
          <t>agar</t>
        </is>
      </c>
      <c r="M9" s="72" t="n"/>
    </row>
    <row r="10">
      <c r="A10" s="10" t="inlineStr">
        <is>
          <t>Glycerol Ammonium Sulfate</t>
        </is>
      </c>
      <c r="B10" s="10" t="inlineStr">
        <is>
          <t>Glycerol AmmSulf</t>
        </is>
      </c>
      <c r="C10" s="10" t="inlineStr">
        <is>
          <t>Glycerol</t>
        </is>
      </c>
      <c r="D10" s="10" t="inlineStr">
        <is>
          <t>Ammonium sulfate</t>
        </is>
      </c>
      <c r="E10" s="11" t="n">
        <v>0</v>
      </c>
      <c r="F10" s="11" t="inlineStr">
        <is>
          <t>auto</t>
        </is>
      </c>
      <c r="G10" s="12" t="n"/>
      <c r="H10" s="12" t="inlineStr">
        <is>
          <t>Agar</t>
        </is>
      </c>
      <c r="I10" s="29" t="n"/>
      <c r="J10" s="30" t="n"/>
      <c r="K10" s="50" t="inlineStr">
        <is>
          <t>Glycerol</t>
        </is>
      </c>
      <c r="L10" s="73" t="inlineStr">
        <is>
          <t>agar</t>
        </is>
      </c>
      <c r="M10" s="72" t="n"/>
    </row>
    <row r="11">
      <c r="A11" s="10" t="inlineStr">
        <is>
          <t>Molasses Ammonium Sulfate</t>
        </is>
      </c>
      <c r="B11" s="10" t="inlineStr">
        <is>
          <t>Molasses AmmSulf</t>
        </is>
      </c>
      <c r="C11" s="10" t="inlineStr">
        <is>
          <t>Molasses</t>
        </is>
      </c>
      <c r="D11" s="10" t="inlineStr">
        <is>
          <t>Ammonium sulfate</t>
        </is>
      </c>
      <c r="E11" s="11" t="n">
        <v>0</v>
      </c>
      <c r="F11" s="11" t="inlineStr">
        <is>
          <t>auto</t>
        </is>
      </c>
      <c r="G11" s="12" t="n"/>
      <c r="H11" s="12" t="inlineStr">
        <is>
          <t>Agar</t>
        </is>
      </c>
      <c r="I11" s="29" t="n"/>
      <c r="J11" s="30" t="n"/>
      <c r="K11" s="50" t="inlineStr">
        <is>
          <t>Molasses</t>
        </is>
      </c>
      <c r="L11" s="73" t="inlineStr">
        <is>
          <t>agar</t>
        </is>
      </c>
      <c r="M11" s="72" t="n"/>
    </row>
    <row r="12">
      <c r="A12" s="10" t="inlineStr">
        <is>
          <t>Xylose Ammonium Sulfate</t>
        </is>
      </c>
      <c r="B12" s="10" t="inlineStr">
        <is>
          <t>Xylose AmmSulf</t>
        </is>
      </c>
      <c r="C12" s="10" t="inlineStr">
        <is>
          <t>Xylose</t>
        </is>
      </c>
      <c r="D12" s="10" t="inlineStr">
        <is>
          <t>Ammonium sulfate</t>
        </is>
      </c>
      <c r="E12" s="11" t="n">
        <v>0</v>
      </c>
      <c r="F12" s="11" t="inlineStr">
        <is>
          <t>auto</t>
        </is>
      </c>
      <c r="G12" s="12" t="n"/>
      <c r="H12" s="12" t="inlineStr">
        <is>
          <t>Agar</t>
        </is>
      </c>
      <c r="I12" s="29" t="n"/>
      <c r="J12" s="30" t="n"/>
      <c r="K12" s="50" t="inlineStr">
        <is>
          <t>Xylose</t>
        </is>
      </c>
      <c r="L12" s="73" t="inlineStr">
        <is>
          <t>agar</t>
        </is>
      </c>
      <c r="M12" s="72" t="n"/>
    </row>
    <row r="13">
      <c r="A13" s="31" t="inlineStr">
        <is>
          <t>Dextrose AS V4</t>
        </is>
      </c>
      <c r="B13" s="31" t="inlineStr">
        <is>
          <t>Dextrose AS V4</t>
        </is>
      </c>
      <c r="C13" s="31" t="inlineStr">
        <is>
          <t>Dextrose</t>
        </is>
      </c>
      <c r="D13" s="31" t="inlineStr">
        <is>
          <t>Ammonium sulfate</t>
        </is>
      </c>
      <c r="E13" s="29" t="n">
        <v>0</v>
      </c>
      <c r="F13" s="29" t="inlineStr">
        <is>
          <t>auto</t>
        </is>
      </c>
      <c r="G13" s="32" t="n"/>
      <c r="H13" s="32" t="n"/>
      <c r="I13" s="29" t="inlineStr">
        <is>
          <t>Dextrose + Ammonium Sulfate</t>
        </is>
      </c>
      <c r="J13" s="30" t="n">
        <v>2</v>
      </c>
      <c r="K13" s="50" t="inlineStr">
        <is>
          <t>Ammonium sulfate</t>
        </is>
      </c>
      <c r="L13" s="73" t="inlineStr">
        <is>
          <t>agar</t>
        </is>
      </c>
      <c r="M13" s="72" t="n"/>
    </row>
    <row r="14">
      <c r="A14" s="31" t="inlineStr">
        <is>
          <t>Dextrose Ammonium Sulfate Agarose Part 2 (power issue)</t>
        </is>
      </c>
      <c r="B14" s="31" t="inlineStr">
        <is>
          <t>Dextrose AS Agarose</t>
        </is>
      </c>
      <c r="C14" s="31" t="inlineStr">
        <is>
          <t>Dextrose</t>
        </is>
      </c>
      <c r="D14" s="31" t="inlineStr">
        <is>
          <t>Ammonium sulfate</t>
        </is>
      </c>
      <c r="E14" s="29" t="n">
        <v>9.800000000000001</v>
      </c>
      <c r="F14" s="29" t="inlineStr">
        <is>
          <t>auto</t>
        </is>
      </c>
      <c r="G14" s="32" t="n"/>
      <c r="H14" s="29" t="inlineStr">
        <is>
          <t>Power failure; capture restarted ~9.8 h after inoculation (offset ESTIMATED from growth landmark, not measured). Agarose, not agar. 52 frames = 26 h.</t>
        </is>
      </c>
      <c r="I14" s="29" t="inlineStr">
        <is>
          <t>Dextrose + Ammonium Sulfate (agarose)</t>
        </is>
      </c>
      <c r="J14" s="30" t="n">
        <v>1</v>
      </c>
      <c r="K14" s="50" t="inlineStr">
        <is>
          <t>Ammonium sulfate</t>
        </is>
      </c>
      <c r="L14" s="73" t="inlineStr">
        <is>
          <t>agarose</t>
        </is>
      </c>
      <c r="M14" s="72" t="n"/>
    </row>
    <row r="15">
      <c r="A15" s="54" t="inlineStr">
        <is>
          <t>Glutamate Ammonium Sulfate</t>
        </is>
      </c>
      <c r="B15" s="54" t="inlineStr">
        <is>
          <t>Glutamate AmmSulf</t>
        </is>
      </c>
      <c r="C15" s="54" t="inlineStr">
        <is>
          <t>Glutamate</t>
        </is>
      </c>
      <c r="D15" s="54" t="inlineStr">
        <is>
          <t>Ammonium sulfate</t>
        </is>
      </c>
      <c r="E15" s="53" t="n">
        <v>0</v>
      </c>
      <c r="F15" s="53" t="inlineStr">
        <is>
          <t>auto</t>
        </is>
      </c>
      <c r="G15" s="55" t="n"/>
      <c r="H15" s="55" t="inlineStr">
        <is>
          <t>Carbon-source series. Data not yet collected — correct Data_Folder if the zip is named differently, and set Gelling_Agent.</t>
        </is>
      </c>
      <c r="I15" s="55" t="n"/>
      <c r="J15" s="53" t="n"/>
      <c r="K15" s="55" t="inlineStr">
        <is>
          <t>Glutamate</t>
        </is>
      </c>
      <c r="L15" s="73" t="inlineStr">
        <is>
          <t>agar</t>
        </is>
      </c>
      <c r="M15" s="72" t="n">
        <v>94</v>
      </c>
    </row>
    <row r="16">
      <c r="A16" s="14" t="inlineStr">
        <is>
          <t xml:space="preserve">                All plotted times are measured from when the plates went in, so an experiment</t>
        </is>
      </c>
    </row>
    <row r="17">
      <c r="A17" s="14" t="inlineStr">
        <is>
          <t xml:space="preserve">                whose capture started late is shifted right by this amount and stays comparable</t>
        </is>
      </c>
    </row>
    <row r="18">
      <c r="A18" s="14" t="inlineStr">
        <is>
          <t xml:space="preserve">                with the others. Leave at 0 when capture started immediately.</t>
        </is>
      </c>
    </row>
    <row r="19">
      <c r="A19" s="14" t="n"/>
    </row>
    <row r="20">
      <c r="A20" s="14" t="inlineStr">
        <is>
          <t>Baseline_Frame  Frame used as the clean 'no growth' background for subtraction.</t>
        </is>
      </c>
    </row>
    <row r="21">
      <c r="A21" s="14" t="inlineStr">
        <is>
          <t xml:space="preserve">                'auto' (recommended) detects when condensation has stopped changing and uses</t>
        </is>
      </c>
    </row>
    <row r="22">
      <c r="A22" s="14" t="inlineStr">
        <is>
          <t xml:space="preserve">                the first settled frame. A number forces it — 1 frame = 30 min, so 4 = 2 h.</t>
        </is>
      </c>
    </row>
    <row r="23">
      <c r="A23" s="14" t="inlineStr">
        <is>
          <t xml:space="preserve">                A per-plate value on an experiment sheet overrides this default.</t>
        </is>
      </c>
    </row>
    <row r="24">
      <c r="A24" s="14" t="inlineStr">
        <is>
          <t xml:space="preserve">                Frames before the baseline are excluded from that plate's series.</t>
        </is>
      </c>
    </row>
  </sheetData>
  <dataValidations count="1">
    <dataValidation sqref="L4:L23" showDropDown="0" showInputMessage="0" showErrorMessage="0" allowBlank="1" type="list">
      <formula1>"agar,agarose"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4" sqref="A4:A7"/>
    </sheetView>
  </sheetViews>
  <sheetFormatPr baseColWidth="10" defaultColWidth="8.83203125" defaultRowHeight="15"/>
  <cols>
    <col width="20" customWidth="1" min="1" max="1"/>
    <col width="26" customWidth="1" min="2" max="2"/>
    <col width="40" customWidth="1" min="3" max="3"/>
    <col width="34" customWidth="1" min="4" max="4"/>
  </cols>
  <sheetData>
    <row r="1" ht="17" customHeight="1">
      <c r="A1" s="7" t="inlineStr">
        <is>
          <t>Strain reference</t>
        </is>
      </c>
    </row>
    <row r="2">
      <c r="A2" s="8" t="inlineStr">
        <is>
          <t>Fill column A with your 4 strain IDs. These feed the Strain dropdowns on every experiment sheet. Spare rows are provided; leave unused rows blank.</t>
        </is>
      </c>
    </row>
    <row r="3" ht="28" customHeight="1">
      <c r="A3" s="9" t="inlineStr">
        <is>
          <t>Strain_ID</t>
        </is>
      </c>
      <c r="B3" s="9" t="inlineStr">
        <is>
          <t>Species</t>
        </is>
      </c>
      <c r="C3" s="9" t="inlineStr">
        <is>
          <t>Description</t>
        </is>
      </c>
      <c r="D3" s="9" t="inlineStr">
        <is>
          <t>Notes</t>
        </is>
      </c>
    </row>
    <row r="4">
      <c r="A4" s="27" t="n">
        <v>6205</v>
      </c>
      <c r="B4" s="12" t="inlineStr">
        <is>
          <t>Rhizopus microsporus</t>
        </is>
      </c>
      <c r="C4" s="12" t="n"/>
      <c r="D4" s="12" t="n"/>
    </row>
    <row r="5">
      <c r="A5" s="27" t="inlineStr">
        <is>
          <t>B2002</t>
        </is>
      </c>
      <c r="B5" s="12" t="inlineStr">
        <is>
          <t>Rhizopus microsporus</t>
        </is>
      </c>
      <c r="C5" s="12" t="n"/>
      <c r="D5" s="12" t="n"/>
    </row>
    <row r="6">
      <c r="A6" s="27" t="inlineStr">
        <is>
          <t>NH</t>
        </is>
      </c>
      <c r="B6" s="12" t="inlineStr">
        <is>
          <t>Rhizopus microsporus</t>
        </is>
      </c>
      <c r="C6" s="12" t="n"/>
      <c r="D6" s="12" t="n"/>
    </row>
    <row r="7">
      <c r="A7" s="27" t="inlineStr">
        <is>
          <t>UM1</t>
        </is>
      </c>
      <c r="B7" s="12" t="inlineStr">
        <is>
          <t>Rhizopus microsporus</t>
        </is>
      </c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>
      <c r="A10" s="12" t="n"/>
      <c r="B10" s="12" t="n"/>
      <c r="C10" s="12" t="n"/>
      <c r="D10" s="12" t="n"/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13">
      <c r="A13" s="12" t="n"/>
      <c r="B13" s="12" t="n"/>
      <c r="C13" s="12" t="n"/>
      <c r="D13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D6" sqref="D6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7" t="inlineStr">
        <is>
          <t>Plate map — Cellulose Ammonium Sulfate</t>
        </is>
      </c>
    </row>
    <row r="2">
      <c r="A2" s="8" t="inlineStr">
        <is>
          <t>Yellow cells = fill in. Grey cells = fixed, do not edit. Row 4 is a worked EXAMPLE — delete it or leave it, the loader ignores row 4.</t>
        </is>
      </c>
    </row>
    <row r="3" ht="28" customHeight="1">
      <c r="A3" s="9" t="inlineStr">
        <is>
          <t>Plate</t>
        </is>
      </c>
      <c r="B3" s="9" t="inlineStr">
        <is>
          <t>Grid_Row</t>
        </is>
      </c>
      <c r="C3" s="9" t="inlineStr">
        <is>
          <t>Grid_Col</t>
        </is>
      </c>
      <c r="D3" s="9" t="inlineStr">
        <is>
          <t>Role</t>
        </is>
      </c>
      <c r="E3" s="9" t="inlineStr">
        <is>
          <t>Strain</t>
        </is>
      </c>
      <c r="F3" s="9" t="inlineStr">
        <is>
          <t>Replicate</t>
        </is>
      </c>
      <c r="G3" s="9" t="inlineStr">
        <is>
          <t>Spores</t>
        </is>
      </c>
      <c r="H3" s="9" t="inlineStr">
        <is>
          <t>Carbon</t>
        </is>
      </c>
      <c r="I3" s="9" t="inlineStr">
        <is>
          <t>Nitrogen</t>
        </is>
      </c>
      <c r="J3" s="9" t="inlineStr">
        <is>
          <t>Include</t>
        </is>
      </c>
      <c r="K3" s="9" t="inlineStr">
        <is>
          <t>Baseline_Frame</t>
        </is>
      </c>
      <c r="L3" s="9" t="inlineStr">
        <is>
          <t>Notes</t>
        </is>
      </c>
    </row>
    <row r="4" ht="16" customHeight="1" thickBot="1">
      <c r="A4" s="15" t="inlineStr">
        <is>
          <t>EXAMPLE</t>
        </is>
      </c>
      <c r="B4" s="15" t="n">
        <v>1</v>
      </c>
      <c r="C4" s="15" t="inlineStr">
        <is>
          <t>A</t>
        </is>
      </c>
      <c r="D4" s="15" t="inlineStr">
        <is>
          <t>sample</t>
        </is>
      </c>
      <c r="E4" s="15" t="inlineStr">
        <is>
          <t>STRAIN_1</t>
        </is>
      </c>
      <c r="F4" s="15" t="n">
        <v>1</v>
      </c>
      <c r="G4" s="15" t="inlineStr">
        <is>
          <t>Y</t>
        </is>
      </c>
      <c r="H4" s="15" t="inlineStr">
        <is>
          <t>Cellulose</t>
        </is>
      </c>
      <c r="I4" s="15" t="inlineStr">
        <is>
          <t>Ammonium sulfate</t>
        </is>
      </c>
      <c r="J4" s="15" t="inlineStr">
        <is>
          <t>Y</t>
        </is>
      </c>
      <c r="K4" s="15" t="inlineStr">
        <is>
          <t>auto</t>
        </is>
      </c>
      <c r="L4" s="15" t="inlineStr">
        <is>
          <t>example only — loader skips this row</t>
        </is>
      </c>
    </row>
    <row r="5">
      <c r="A5" s="16" t="inlineStr">
        <is>
          <t>A1</t>
        </is>
      </c>
      <c r="B5" s="17" t="n">
        <v>1</v>
      </c>
      <c r="C5" s="17" t="inlineStr">
        <is>
          <t>A</t>
        </is>
      </c>
      <c r="D5" s="22" t="inlineStr">
        <is>
          <t>sample</t>
        </is>
      </c>
      <c r="E5" s="22" t="inlineStr">
        <is>
          <t>B2002</t>
        </is>
      </c>
      <c r="F5" s="22" t="n">
        <v>3</v>
      </c>
      <c r="G5" s="11" t="inlineStr">
        <is>
          <t>Y</t>
        </is>
      </c>
      <c r="H5" s="23" t="inlineStr">
        <is>
          <t>Cellulose</t>
        </is>
      </c>
      <c r="I5" s="23" t="inlineStr">
        <is>
          <t>Ammonium sulfate</t>
        </is>
      </c>
      <c r="J5" s="22" t="inlineStr">
        <is>
          <t>Y</t>
        </is>
      </c>
      <c r="K5" s="22" t="n"/>
      <c r="L5" s="19" t="n"/>
    </row>
    <row r="6">
      <c r="A6" s="16" t="inlineStr">
        <is>
          <t>B1</t>
        </is>
      </c>
      <c r="B6" s="17" t="n">
        <v>1</v>
      </c>
      <c r="C6" s="17" t="inlineStr">
        <is>
          <t>B</t>
        </is>
      </c>
      <c r="D6" s="11" t="inlineStr">
        <is>
          <t>unused</t>
        </is>
      </c>
      <c r="E6" s="11" t="n"/>
      <c r="F6" s="11" t="n"/>
      <c r="G6" s="11" t="inlineStr">
        <is>
          <t>N</t>
        </is>
      </c>
      <c r="H6" s="18" t="inlineStr">
        <is>
          <t>Cellulose</t>
        </is>
      </c>
      <c r="I6" s="18" t="inlineStr">
        <is>
          <t>Ammonium sulfate</t>
        </is>
      </c>
      <c r="J6" s="11" t="inlineStr">
        <is>
          <t>N</t>
        </is>
      </c>
      <c r="K6" s="11" t="n"/>
      <c r="L6" s="19" t="n"/>
    </row>
    <row r="7">
      <c r="A7" s="16" t="inlineStr">
        <is>
          <t>C1</t>
        </is>
      </c>
      <c r="B7" s="17" t="n">
        <v>1</v>
      </c>
      <c r="C7" s="17" t="inlineStr">
        <is>
          <t>C</t>
        </is>
      </c>
      <c r="D7" s="11" t="inlineStr">
        <is>
          <t>sample</t>
        </is>
      </c>
      <c r="E7" s="11" t="n">
        <v>6205</v>
      </c>
      <c r="F7" s="11" t="n">
        <v>3</v>
      </c>
      <c r="G7" s="11" t="inlineStr">
        <is>
          <t>Y</t>
        </is>
      </c>
      <c r="H7" s="18" t="inlineStr">
        <is>
          <t>Cellulose</t>
        </is>
      </c>
      <c r="I7" s="18" t="inlineStr">
        <is>
          <t>Ammonium sulfate</t>
        </is>
      </c>
      <c r="J7" s="11" t="inlineStr">
        <is>
          <t>Y</t>
        </is>
      </c>
      <c r="K7" s="11" t="n"/>
      <c r="L7" s="19" t="n"/>
    </row>
    <row r="8">
      <c r="A8" s="16" t="inlineStr">
        <is>
          <t>D1</t>
        </is>
      </c>
      <c r="B8" s="17" t="n">
        <v>1</v>
      </c>
      <c r="C8" s="17" t="inlineStr">
        <is>
          <t>D</t>
        </is>
      </c>
      <c r="D8" s="11" t="inlineStr">
        <is>
          <t>contamination_control</t>
        </is>
      </c>
      <c r="E8" s="11" t="n"/>
      <c r="F8" s="11" t="n"/>
      <c r="G8" s="11" t="inlineStr">
        <is>
          <t>N</t>
        </is>
      </c>
      <c r="H8" s="18" t="inlineStr">
        <is>
          <t>Cellulose</t>
        </is>
      </c>
      <c r="I8" s="18" t="inlineStr">
        <is>
          <t>Ammonium sulfate</t>
        </is>
      </c>
      <c r="J8" s="11" t="inlineStr">
        <is>
          <t>Y</t>
        </is>
      </c>
      <c r="K8" s="11" t="n"/>
      <c r="L8" s="19" t="n"/>
    </row>
    <row r="9" ht="16" customHeight="1" thickBot="1">
      <c r="A9" s="16" t="inlineStr">
        <is>
          <t>E1</t>
        </is>
      </c>
      <c r="B9" s="17" t="n">
        <v>1</v>
      </c>
      <c r="C9" s="17" t="inlineStr">
        <is>
          <t>E</t>
        </is>
      </c>
      <c r="D9" s="11" t="inlineStr">
        <is>
          <t>sample</t>
        </is>
      </c>
      <c r="E9" s="11" t="inlineStr">
        <is>
          <t>UM1</t>
        </is>
      </c>
      <c r="F9" s="11" t="n">
        <v>3</v>
      </c>
      <c r="G9" s="11" t="inlineStr">
        <is>
          <t>Y</t>
        </is>
      </c>
      <c r="H9" s="18" t="inlineStr">
        <is>
          <t>Cellulose</t>
        </is>
      </c>
      <c r="I9" s="18" t="inlineStr">
        <is>
          <t>Ammonium sulfate</t>
        </is>
      </c>
      <c r="J9" s="11" t="inlineStr">
        <is>
          <t>Y</t>
        </is>
      </c>
      <c r="K9" s="11" t="n"/>
      <c r="L9" s="19" t="n"/>
    </row>
    <row r="10">
      <c r="A10" s="20" t="inlineStr">
        <is>
          <t>A2</t>
        </is>
      </c>
      <c r="B10" s="21" t="n">
        <v>2</v>
      </c>
      <c r="C10" s="21" t="inlineStr">
        <is>
          <t>A</t>
        </is>
      </c>
      <c r="D10" s="22" t="inlineStr">
        <is>
          <t>sample</t>
        </is>
      </c>
      <c r="E10" s="22" t="inlineStr">
        <is>
          <t>UM1</t>
        </is>
      </c>
      <c r="F10" s="22" t="n">
        <v>2</v>
      </c>
      <c r="G10" s="11" t="inlineStr">
        <is>
          <t>Y</t>
        </is>
      </c>
      <c r="H10" s="23" t="inlineStr">
        <is>
          <t>Cellulose</t>
        </is>
      </c>
      <c r="I10" s="23" t="inlineStr">
        <is>
          <t>Ammonium sulfate</t>
        </is>
      </c>
      <c r="J10" s="22" t="inlineStr">
        <is>
          <t>Y</t>
        </is>
      </c>
      <c r="K10" s="22" t="n"/>
      <c r="L10" s="24" t="n"/>
    </row>
    <row r="11">
      <c r="A11" s="16" t="inlineStr">
        <is>
          <t>B2</t>
        </is>
      </c>
      <c r="B11" s="17" t="n">
        <v>2</v>
      </c>
      <c r="C11" s="17" t="inlineStr">
        <is>
          <t>B</t>
        </is>
      </c>
      <c r="D11" s="11" t="inlineStr">
        <is>
          <t>sample</t>
        </is>
      </c>
      <c r="E11" s="11" t="inlineStr">
        <is>
          <t>B2002</t>
        </is>
      </c>
      <c r="F11" s="11" t="n">
        <v>2</v>
      </c>
      <c r="G11" s="11" t="inlineStr">
        <is>
          <t>Y</t>
        </is>
      </c>
      <c r="H11" s="18" t="inlineStr">
        <is>
          <t>Cellulose</t>
        </is>
      </c>
      <c r="I11" s="18" t="inlineStr">
        <is>
          <t>Ammonium sulfate</t>
        </is>
      </c>
      <c r="J11" s="11" t="inlineStr">
        <is>
          <t>Y</t>
        </is>
      </c>
      <c r="K11" s="11" t="n"/>
      <c r="L11" s="19" t="n"/>
    </row>
    <row r="12">
      <c r="A12" s="16" t="inlineStr">
        <is>
          <t>C2</t>
        </is>
      </c>
      <c r="B12" s="17" t="n">
        <v>2</v>
      </c>
      <c r="C12" s="17" t="inlineStr">
        <is>
          <t>C</t>
        </is>
      </c>
      <c r="D12" s="11" t="inlineStr">
        <is>
          <t>water</t>
        </is>
      </c>
      <c r="E12" s="11" t="n"/>
      <c r="F12" s="11" t="n"/>
      <c r="G12" s="11" t="inlineStr">
        <is>
          <t>N</t>
        </is>
      </c>
      <c r="H12" s="18" t="inlineStr">
        <is>
          <t>Cellulose</t>
        </is>
      </c>
      <c r="I12" s="18" t="inlineStr">
        <is>
          <t>Ammonium sulfate</t>
        </is>
      </c>
      <c r="J12" s="11" t="inlineStr">
        <is>
          <t>N</t>
        </is>
      </c>
      <c r="K12" s="11" t="n"/>
      <c r="L12" s="19" t="n"/>
    </row>
    <row r="13">
      <c r="A13" s="16" t="inlineStr">
        <is>
          <t>D2</t>
        </is>
      </c>
      <c r="B13" s="17" t="n">
        <v>2</v>
      </c>
      <c r="C13" s="17" t="inlineStr">
        <is>
          <t>D</t>
        </is>
      </c>
      <c r="D13" s="11" t="inlineStr">
        <is>
          <t>sample</t>
        </is>
      </c>
      <c r="E13" s="11" t="n">
        <v>6205</v>
      </c>
      <c r="F13" s="11" t="n">
        <v>2</v>
      </c>
      <c r="G13" s="11" t="inlineStr">
        <is>
          <t>Y</t>
        </is>
      </c>
      <c r="H13" s="18" t="inlineStr">
        <is>
          <t>Cellulose</t>
        </is>
      </c>
      <c r="I13" s="18" t="inlineStr">
        <is>
          <t>Ammonium sulfate</t>
        </is>
      </c>
      <c r="J13" s="11" t="inlineStr">
        <is>
          <t>Y</t>
        </is>
      </c>
      <c r="K13" s="11" t="n"/>
      <c r="L13" s="19" t="n"/>
    </row>
    <row r="14" ht="16" customHeight="1" thickBot="1">
      <c r="A14" s="16" t="inlineStr">
        <is>
          <t>E2</t>
        </is>
      </c>
      <c r="B14" s="17" t="n">
        <v>2</v>
      </c>
      <c r="C14" s="17" t="inlineStr">
        <is>
          <t>E</t>
        </is>
      </c>
      <c r="D14" s="11" t="inlineStr">
        <is>
          <t>sample</t>
        </is>
      </c>
      <c r="E14" s="11" t="inlineStr">
        <is>
          <t>NH</t>
        </is>
      </c>
      <c r="F14" s="11" t="n">
        <v>2</v>
      </c>
      <c r="G14" s="11" t="inlineStr">
        <is>
          <t>Y</t>
        </is>
      </c>
      <c r="H14" s="18" t="inlineStr">
        <is>
          <t>Cellulose</t>
        </is>
      </c>
      <c r="I14" s="18" t="inlineStr">
        <is>
          <t>Ammonium sulfate</t>
        </is>
      </c>
      <c r="J14" s="11" t="inlineStr">
        <is>
          <t>Y</t>
        </is>
      </c>
      <c r="K14" s="11" t="n"/>
      <c r="L14" s="19" t="n"/>
    </row>
    <row r="15">
      <c r="A15" s="20" t="inlineStr">
        <is>
          <t>A3</t>
        </is>
      </c>
      <c r="B15" s="21" t="n">
        <v>3</v>
      </c>
      <c r="C15" s="21" t="inlineStr">
        <is>
          <t>A</t>
        </is>
      </c>
      <c r="D15" s="11" t="inlineStr">
        <is>
          <t>sample</t>
        </is>
      </c>
      <c r="E15" s="11" t="inlineStr">
        <is>
          <t>NH</t>
        </is>
      </c>
      <c r="F15" s="11" t="n">
        <v>1</v>
      </c>
      <c r="G15" s="11" t="inlineStr">
        <is>
          <t>Y</t>
        </is>
      </c>
      <c r="H15" s="18" t="inlineStr">
        <is>
          <t>Cellulose</t>
        </is>
      </c>
      <c r="I15" s="18" t="inlineStr">
        <is>
          <t>Ammonium sulfate</t>
        </is>
      </c>
      <c r="J15" s="11" t="inlineStr">
        <is>
          <t>Y</t>
        </is>
      </c>
      <c r="K15" s="11" t="n"/>
      <c r="L15" s="24" t="n"/>
    </row>
    <row r="16">
      <c r="A16" s="16" t="inlineStr">
        <is>
          <t>B3</t>
        </is>
      </c>
      <c r="B16" s="17" t="n">
        <v>3</v>
      </c>
      <c r="C16" s="17" t="inlineStr">
        <is>
          <t>B</t>
        </is>
      </c>
      <c r="D16" s="11" t="inlineStr">
        <is>
          <t>sample</t>
        </is>
      </c>
      <c r="E16" s="11" t="inlineStr">
        <is>
          <t>UM1</t>
        </is>
      </c>
      <c r="F16" s="11" t="n">
        <v>1</v>
      </c>
      <c r="G16" s="11" t="inlineStr">
        <is>
          <t>Y</t>
        </is>
      </c>
      <c r="H16" s="18" t="inlineStr">
        <is>
          <t>Cellulose</t>
        </is>
      </c>
      <c r="I16" s="18" t="inlineStr">
        <is>
          <t>Ammonium sulfate</t>
        </is>
      </c>
      <c r="J16" s="11" t="inlineStr">
        <is>
          <t>Y</t>
        </is>
      </c>
      <c r="K16" s="11" t="n"/>
      <c r="L16" s="19" t="n"/>
    </row>
    <row r="17">
      <c r="A17" s="16" t="inlineStr">
        <is>
          <t>C3</t>
        </is>
      </c>
      <c r="B17" s="17" t="n">
        <v>3</v>
      </c>
      <c r="C17" s="17" t="inlineStr">
        <is>
          <t>C</t>
        </is>
      </c>
      <c r="D17" s="11" t="inlineStr">
        <is>
          <t>minus_variable_control</t>
        </is>
      </c>
      <c r="E17" s="11" t="inlineStr">
        <is>
          <t>B2002</t>
        </is>
      </c>
      <c r="F17" s="11" t="n"/>
      <c r="G17" s="11" t="inlineStr">
        <is>
          <t>Y</t>
        </is>
      </c>
      <c r="H17" s="18" t="inlineStr">
        <is>
          <t>Cellulose</t>
        </is>
      </c>
      <c r="I17" s="18" t="inlineStr">
        <is>
          <t>Ammonium sulfate</t>
        </is>
      </c>
      <c r="J17" s="11" t="inlineStr">
        <is>
          <t>Y</t>
        </is>
      </c>
      <c r="K17" s="11" t="n"/>
      <c r="L17" s="19" t="n"/>
    </row>
    <row r="18">
      <c r="A18" s="16" t="inlineStr">
        <is>
          <t>D3</t>
        </is>
      </c>
      <c r="B18" s="17" t="n">
        <v>3</v>
      </c>
      <c r="C18" s="17" t="inlineStr">
        <is>
          <t>D</t>
        </is>
      </c>
      <c r="D18" s="11" t="inlineStr">
        <is>
          <t>sample</t>
        </is>
      </c>
      <c r="E18" s="11" t="inlineStr">
        <is>
          <t>B2002</t>
        </is>
      </c>
      <c r="F18" s="11" t="n">
        <v>1</v>
      </c>
      <c r="G18" s="11" t="inlineStr">
        <is>
          <t>Y</t>
        </is>
      </c>
      <c r="H18" s="18" t="inlineStr">
        <is>
          <t>Cellulose</t>
        </is>
      </c>
      <c r="I18" s="18" t="inlineStr">
        <is>
          <t>Ammonium sulfate</t>
        </is>
      </c>
      <c r="J18" s="11" t="inlineStr">
        <is>
          <t>Y</t>
        </is>
      </c>
      <c r="K18" s="11" t="n"/>
      <c r="L18" s="19" t="n"/>
    </row>
    <row r="19">
      <c r="A19" s="16" t="inlineStr">
        <is>
          <t>E3</t>
        </is>
      </c>
      <c r="B19" s="17" t="n">
        <v>3</v>
      </c>
      <c r="C19" s="17" t="inlineStr">
        <is>
          <t>E</t>
        </is>
      </c>
      <c r="D19" s="11" t="inlineStr">
        <is>
          <t>sample</t>
        </is>
      </c>
      <c r="E19" s="11" t="n">
        <v>6205</v>
      </c>
      <c r="F19" s="11" t="n">
        <v>1</v>
      </c>
      <c r="G19" s="11" t="inlineStr">
        <is>
          <t>Y</t>
        </is>
      </c>
      <c r="H19" s="18" t="inlineStr">
        <is>
          <t>Cellulose</t>
        </is>
      </c>
      <c r="I19" s="18" t="inlineStr">
        <is>
          <t>Ammonium sulfate</t>
        </is>
      </c>
      <c r="J19" s="11" t="inlineStr">
        <is>
          <t>Y</t>
        </is>
      </c>
      <c r="K19" s="11" t="n"/>
      <c r="L19" s="19" t="n"/>
    </row>
    <row r="21">
      <c r="A21" s="3" t="inlineStr">
        <is>
          <t>Sanity check</t>
        </is>
      </c>
    </row>
    <row r="22">
      <c r="A22" s="25" t="inlineStr">
        <is>
          <t>Rows with a Role filled in (want 15)</t>
        </is>
      </c>
      <c r="D22" s="26">
        <f>COUNTA(D5:D19)</f>
        <v/>
      </c>
    </row>
    <row r="23">
      <c r="A23" s="25" t="inlineStr">
        <is>
          <t>Plates marked 'sample' (want 12)</t>
        </is>
      </c>
      <c r="D23" s="26">
        <f>COUNTIF(D5:D19,"sample")</f>
        <v/>
      </c>
    </row>
    <row r="24">
      <c r="A24" s="25" t="inlineStr">
        <is>
          <t>Plates marked 'water' (want 1)</t>
        </is>
      </c>
      <c r="D24" s="26">
        <f>COUNTIF(D5:D19,"water")</f>
        <v/>
      </c>
    </row>
    <row r="25">
      <c r="A25" s="25" t="inlineStr">
        <is>
          <t>Plates marked 'contamination_control' (want 1)</t>
        </is>
      </c>
      <c r="D25" s="26">
        <f>COUNTIF(D5:D14,"contamination_control")</f>
        <v/>
      </c>
    </row>
    <row r="26">
      <c r="A26" s="25" t="inlineStr">
        <is>
          <t>Plates marked 'minus_variable_control' (want 1)</t>
        </is>
      </c>
      <c r="D26" s="26">
        <f>COUNTIF(D5:D19,"minus_variable_control")</f>
        <v/>
      </c>
    </row>
    <row r="27">
      <c r="A27" s="25" t="inlineStr">
        <is>
          <t>Sample plates with a strain assigned (want 12)</t>
        </is>
      </c>
      <c r="D27" s="26">
        <f t="array" ref="D27">SUMPRODUCT((D5:D19="sample")*(E5:E19&lt;&gt;""))</f>
        <v/>
      </c>
    </row>
    <row r="28">
      <c r="A28" s="25" t="inlineStr">
        <is>
          <t>Sample plates with a replicate number (want 12)</t>
        </is>
      </c>
      <c r="D28" s="26">
        <f t="array" ref="D28">SUMPRODUCT((D5:D19="sample")*(F5:F19&lt;&gt;""))</f>
        <v/>
      </c>
    </row>
    <row r="29">
      <c r="A29" s="25" t="inlineStr">
        <is>
          <t>Duplicate strain+replicate pairs (want 0)</t>
        </is>
      </c>
      <c r="D29" s="26">
        <f t="array" ref="D29"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D22" sqref="D22:D29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7" t="inlineStr">
        <is>
          <t>Plate map — Coffee Ammonium Sulfate</t>
        </is>
      </c>
    </row>
    <row r="2">
      <c r="A2" s="8" t="inlineStr">
        <is>
          <t>Yellow cells = fill in. Grey cells = fixed, do not edit. Row 4 is a worked EXAMPLE — delete it or leave it, the loader ignores row 4.</t>
        </is>
      </c>
    </row>
    <row r="3" ht="28" customHeight="1">
      <c r="A3" s="9" t="inlineStr">
        <is>
          <t>Plate</t>
        </is>
      </c>
      <c r="B3" s="9" t="inlineStr">
        <is>
          <t>Grid_Row</t>
        </is>
      </c>
      <c r="C3" s="9" t="inlineStr">
        <is>
          <t>Grid_Col</t>
        </is>
      </c>
      <c r="D3" s="9" t="inlineStr">
        <is>
          <t>Role</t>
        </is>
      </c>
      <c r="E3" s="9" t="inlineStr">
        <is>
          <t>Strain</t>
        </is>
      </c>
      <c r="F3" s="9" t="inlineStr">
        <is>
          <t>Replicate</t>
        </is>
      </c>
      <c r="G3" s="9" t="inlineStr">
        <is>
          <t>Spores</t>
        </is>
      </c>
      <c r="H3" s="9" t="inlineStr">
        <is>
          <t>Carbon</t>
        </is>
      </c>
      <c r="I3" s="9" t="inlineStr">
        <is>
          <t>Nitrogen</t>
        </is>
      </c>
      <c r="J3" s="9" t="inlineStr">
        <is>
          <t>Include</t>
        </is>
      </c>
      <c r="K3" s="9" t="inlineStr">
        <is>
          <t>Baseline_Frame</t>
        </is>
      </c>
      <c r="L3" s="9" t="inlineStr">
        <is>
          <t>Notes</t>
        </is>
      </c>
    </row>
    <row r="4" ht="16" customHeight="1" thickBot="1">
      <c r="A4" s="15" t="inlineStr">
        <is>
          <t>EXAMPLE</t>
        </is>
      </c>
      <c r="B4" s="15" t="n">
        <v>1</v>
      </c>
      <c r="C4" s="15" t="inlineStr">
        <is>
          <t>A</t>
        </is>
      </c>
      <c r="D4" s="15" t="inlineStr">
        <is>
          <t>sample</t>
        </is>
      </c>
      <c r="E4" s="15" t="inlineStr">
        <is>
          <t>STRAIN_1</t>
        </is>
      </c>
      <c r="F4" s="15" t="n">
        <v>1</v>
      </c>
      <c r="G4" s="15" t="inlineStr">
        <is>
          <t>Y</t>
        </is>
      </c>
      <c r="H4" s="15" t="inlineStr">
        <is>
          <t>Coffee</t>
        </is>
      </c>
      <c r="I4" s="15" t="inlineStr">
        <is>
          <t>Ammonium sulfate</t>
        </is>
      </c>
      <c r="J4" s="15" t="inlineStr">
        <is>
          <t>Y</t>
        </is>
      </c>
      <c r="K4" s="15" t="inlineStr">
        <is>
          <t>auto</t>
        </is>
      </c>
      <c r="L4" s="15" t="inlineStr">
        <is>
          <t>example only — loader skips this row</t>
        </is>
      </c>
    </row>
    <row r="5">
      <c r="A5" s="16" t="inlineStr">
        <is>
          <t>A1</t>
        </is>
      </c>
      <c r="B5" s="17" t="n">
        <v>1</v>
      </c>
      <c r="C5" s="17" t="inlineStr">
        <is>
          <t>A</t>
        </is>
      </c>
      <c r="D5" s="22" t="inlineStr">
        <is>
          <t>sample</t>
        </is>
      </c>
      <c r="E5" s="22" t="inlineStr">
        <is>
          <t>B2002</t>
        </is>
      </c>
      <c r="F5" s="22" t="n">
        <v>3</v>
      </c>
      <c r="G5" s="22" t="inlineStr">
        <is>
          <t>Y</t>
        </is>
      </c>
      <c r="H5" s="23" t="inlineStr">
        <is>
          <t>Coffee</t>
        </is>
      </c>
      <c r="I5" s="23" t="inlineStr">
        <is>
          <t>Ammonium sulfate</t>
        </is>
      </c>
      <c r="J5" s="22" t="inlineStr">
        <is>
          <t>Y</t>
        </is>
      </c>
      <c r="K5" s="22" t="n"/>
      <c r="L5" s="19" t="n"/>
    </row>
    <row r="6">
      <c r="A6" s="16" t="inlineStr">
        <is>
          <t>B1</t>
        </is>
      </c>
      <c r="B6" s="17" t="n">
        <v>1</v>
      </c>
      <c r="C6" s="17" t="inlineStr">
        <is>
          <t>B</t>
        </is>
      </c>
      <c r="D6" s="11" t="inlineStr">
        <is>
          <t>sample</t>
        </is>
      </c>
      <c r="E6" s="11" t="inlineStr">
        <is>
          <t>NH</t>
        </is>
      </c>
      <c r="F6" s="11" t="n">
        <v>3</v>
      </c>
      <c r="G6" s="11" t="inlineStr">
        <is>
          <t>Y</t>
        </is>
      </c>
      <c r="H6" s="18" t="inlineStr">
        <is>
          <t>Coffee</t>
        </is>
      </c>
      <c r="I6" s="18" t="inlineStr">
        <is>
          <t>Ammonium sulfate</t>
        </is>
      </c>
      <c r="J6" s="11" t="inlineStr">
        <is>
          <t>Y</t>
        </is>
      </c>
      <c r="K6" s="11" t="n"/>
      <c r="L6" s="19" t="n"/>
    </row>
    <row r="7">
      <c r="A7" s="16" t="inlineStr">
        <is>
          <t>C1</t>
        </is>
      </c>
      <c r="B7" s="17" t="n">
        <v>1</v>
      </c>
      <c r="C7" s="17" t="inlineStr">
        <is>
          <t>C</t>
        </is>
      </c>
      <c r="D7" s="11" t="inlineStr">
        <is>
          <t>contamination_control</t>
        </is>
      </c>
      <c r="E7" s="11" t="n"/>
      <c r="F7" s="11" t="n"/>
      <c r="G7" s="11" t="inlineStr">
        <is>
          <t>N</t>
        </is>
      </c>
      <c r="H7" s="18" t="inlineStr">
        <is>
          <t>Coffee</t>
        </is>
      </c>
      <c r="I7" s="18" t="inlineStr">
        <is>
          <t>Ammonium sulfate</t>
        </is>
      </c>
      <c r="J7" s="11" t="inlineStr">
        <is>
          <t>Y</t>
        </is>
      </c>
      <c r="K7" s="11" t="n"/>
      <c r="L7" s="19" t="n"/>
    </row>
    <row r="8">
      <c r="A8" s="16" t="inlineStr">
        <is>
          <t>D1</t>
        </is>
      </c>
      <c r="B8" s="17" t="n">
        <v>1</v>
      </c>
      <c r="C8" s="17" t="inlineStr">
        <is>
          <t>D</t>
        </is>
      </c>
      <c r="D8" s="11" t="inlineStr">
        <is>
          <t>sample</t>
        </is>
      </c>
      <c r="E8" s="11" t="inlineStr">
        <is>
          <t>UM1</t>
        </is>
      </c>
      <c r="F8" s="11" t="n">
        <v>3</v>
      </c>
      <c r="G8" s="11" t="inlineStr">
        <is>
          <t>Y</t>
        </is>
      </c>
      <c r="H8" s="18" t="inlineStr">
        <is>
          <t>Coffee</t>
        </is>
      </c>
      <c r="I8" s="18" t="inlineStr">
        <is>
          <t>Ammonium sulfate</t>
        </is>
      </c>
      <c r="J8" s="11" t="inlineStr">
        <is>
          <t>Y</t>
        </is>
      </c>
      <c r="K8" s="11" t="n"/>
      <c r="L8" s="19" t="n"/>
    </row>
    <row r="9" ht="16" customHeight="1" thickBot="1">
      <c r="A9" s="16" t="inlineStr">
        <is>
          <t>E1</t>
        </is>
      </c>
      <c r="B9" s="17" t="n">
        <v>1</v>
      </c>
      <c r="C9" s="17" t="inlineStr">
        <is>
          <t>E</t>
        </is>
      </c>
      <c r="D9" s="11" t="inlineStr">
        <is>
          <t>sample</t>
        </is>
      </c>
      <c r="E9" s="11" t="n">
        <v>6205</v>
      </c>
      <c r="F9" s="11" t="n">
        <v>3</v>
      </c>
      <c r="G9" s="11" t="inlineStr">
        <is>
          <t>Y</t>
        </is>
      </c>
      <c r="H9" s="18" t="inlineStr">
        <is>
          <t>Coffee</t>
        </is>
      </c>
      <c r="I9" s="18" t="inlineStr">
        <is>
          <t>Ammonium sulfate</t>
        </is>
      </c>
      <c r="J9" s="11" t="inlineStr">
        <is>
          <t>Y</t>
        </is>
      </c>
      <c r="K9" s="11" t="n"/>
      <c r="L9" s="19" t="n"/>
    </row>
    <row r="10">
      <c r="A10" s="20" t="inlineStr">
        <is>
          <t>A2</t>
        </is>
      </c>
      <c r="B10" s="21" t="n">
        <v>2</v>
      </c>
      <c r="C10" s="21" t="inlineStr">
        <is>
          <t>A</t>
        </is>
      </c>
      <c r="D10" s="22" t="inlineStr">
        <is>
          <t>sample</t>
        </is>
      </c>
      <c r="E10" s="22" t="inlineStr">
        <is>
          <t>B2002</t>
        </is>
      </c>
      <c r="F10" s="22" t="n">
        <v>2</v>
      </c>
      <c r="G10" s="22" t="inlineStr">
        <is>
          <t>Y</t>
        </is>
      </c>
      <c r="H10" s="23" t="inlineStr">
        <is>
          <t>Coffee</t>
        </is>
      </c>
      <c r="I10" s="23" t="inlineStr">
        <is>
          <t>Ammonium sulfate</t>
        </is>
      </c>
      <c r="J10" s="22" t="inlineStr">
        <is>
          <t>Y</t>
        </is>
      </c>
      <c r="K10" s="22" t="n"/>
      <c r="L10" s="24" t="n"/>
    </row>
    <row r="11">
      <c r="A11" s="16" t="inlineStr">
        <is>
          <t>B2</t>
        </is>
      </c>
      <c r="B11" s="17" t="n">
        <v>2</v>
      </c>
      <c r="C11" s="17" t="inlineStr">
        <is>
          <t>B</t>
        </is>
      </c>
      <c r="D11" s="11" t="inlineStr">
        <is>
          <t>sample</t>
        </is>
      </c>
      <c r="E11" s="11" t="inlineStr">
        <is>
          <t>NH</t>
        </is>
      </c>
      <c r="F11" s="11" t="n">
        <v>2</v>
      </c>
      <c r="G11" s="11" t="inlineStr">
        <is>
          <t>Y</t>
        </is>
      </c>
      <c r="H11" s="18" t="inlineStr">
        <is>
          <t>Coffee</t>
        </is>
      </c>
      <c r="I11" s="18" t="inlineStr">
        <is>
          <t>Ammonium sulfate</t>
        </is>
      </c>
      <c r="J11" s="11" t="inlineStr">
        <is>
          <t>Y</t>
        </is>
      </c>
      <c r="K11" s="11" t="n"/>
      <c r="L11" s="19" t="n"/>
    </row>
    <row r="12">
      <c r="A12" s="16" t="inlineStr">
        <is>
          <t>C2</t>
        </is>
      </c>
      <c r="B12" s="17" t="n">
        <v>2</v>
      </c>
      <c r="C12" s="17" t="inlineStr">
        <is>
          <t>C</t>
        </is>
      </c>
      <c r="D12" s="11" t="inlineStr">
        <is>
          <t>water</t>
        </is>
      </c>
      <c r="E12" s="11" t="n"/>
      <c r="F12" s="11" t="n"/>
      <c r="G12" s="11" t="inlineStr">
        <is>
          <t>N</t>
        </is>
      </c>
      <c r="H12" s="18" t="inlineStr">
        <is>
          <t>Coffee</t>
        </is>
      </c>
      <c r="I12" s="18" t="inlineStr">
        <is>
          <t>Ammonium sulfate</t>
        </is>
      </c>
      <c r="J12" s="11" t="inlineStr">
        <is>
          <t>N</t>
        </is>
      </c>
      <c r="K12" s="11" t="n"/>
      <c r="L12" s="19" t="n"/>
    </row>
    <row r="13">
      <c r="A13" s="16" t="inlineStr">
        <is>
          <t>D2</t>
        </is>
      </c>
      <c r="B13" s="17" t="n">
        <v>2</v>
      </c>
      <c r="C13" s="17" t="inlineStr">
        <is>
          <t>D</t>
        </is>
      </c>
      <c r="D13" s="11" t="inlineStr">
        <is>
          <t>sample</t>
        </is>
      </c>
      <c r="E13" s="11" t="inlineStr">
        <is>
          <t>UM1</t>
        </is>
      </c>
      <c r="F13" s="11" t="n">
        <v>2</v>
      </c>
      <c r="G13" s="11" t="inlineStr">
        <is>
          <t>Y</t>
        </is>
      </c>
      <c r="H13" s="18" t="inlineStr">
        <is>
          <t>Coffee</t>
        </is>
      </c>
      <c r="I13" s="18" t="inlineStr">
        <is>
          <t>Ammonium sulfate</t>
        </is>
      </c>
      <c r="J13" s="11" t="inlineStr">
        <is>
          <t>Y</t>
        </is>
      </c>
      <c r="K13" s="11" t="n"/>
      <c r="L13" s="19" t="n"/>
    </row>
    <row r="14" ht="16" customHeight="1" thickBot="1">
      <c r="A14" s="16" t="inlineStr">
        <is>
          <t>E2</t>
        </is>
      </c>
      <c r="B14" s="17" t="n">
        <v>2</v>
      </c>
      <c r="C14" s="17" t="inlineStr">
        <is>
          <t>E</t>
        </is>
      </c>
      <c r="D14" s="11" t="inlineStr">
        <is>
          <t>sample</t>
        </is>
      </c>
      <c r="E14" s="11" t="n">
        <v>6205</v>
      </c>
      <c r="F14" s="11" t="n">
        <v>2</v>
      </c>
      <c r="G14" s="11" t="inlineStr">
        <is>
          <t>Y</t>
        </is>
      </c>
      <c r="H14" s="18" t="inlineStr">
        <is>
          <t>Coffee</t>
        </is>
      </c>
      <c r="I14" s="18" t="inlineStr">
        <is>
          <t>Ammonium sulfate</t>
        </is>
      </c>
      <c r="J14" s="11" t="inlineStr">
        <is>
          <t>Y</t>
        </is>
      </c>
      <c r="K14" s="11" t="n"/>
      <c r="L14" s="19" t="n"/>
    </row>
    <row r="15">
      <c r="A15" s="20" t="inlineStr">
        <is>
          <t>A3</t>
        </is>
      </c>
      <c r="B15" s="21" t="n">
        <v>3</v>
      </c>
      <c r="C15" s="21" t="inlineStr">
        <is>
          <t>A</t>
        </is>
      </c>
      <c r="D15" s="11" t="inlineStr">
        <is>
          <t>sample</t>
        </is>
      </c>
      <c r="E15" s="11" t="inlineStr">
        <is>
          <t>B2002</t>
        </is>
      </c>
      <c r="F15" s="11" t="n">
        <v>1</v>
      </c>
      <c r="G15" s="11" t="inlineStr">
        <is>
          <t>Y</t>
        </is>
      </c>
      <c r="H15" s="18" t="inlineStr">
        <is>
          <t>Coffee</t>
        </is>
      </c>
      <c r="I15" s="18" t="inlineStr">
        <is>
          <t>Ammonium sulfate</t>
        </is>
      </c>
      <c r="J15" s="11" t="inlineStr">
        <is>
          <t>Y</t>
        </is>
      </c>
      <c r="K15" s="11" t="n"/>
      <c r="L15" s="24" t="n"/>
    </row>
    <row r="16">
      <c r="A16" s="16" t="inlineStr">
        <is>
          <t>B3</t>
        </is>
      </c>
      <c r="B16" s="17" t="n">
        <v>3</v>
      </c>
      <c r="C16" s="17" t="inlineStr">
        <is>
          <t>B</t>
        </is>
      </c>
      <c r="D16" s="11" t="inlineStr">
        <is>
          <t>sample</t>
        </is>
      </c>
      <c r="E16" s="11" t="inlineStr">
        <is>
          <t>NH</t>
        </is>
      </c>
      <c r="F16" s="11" t="n">
        <v>1</v>
      </c>
      <c r="G16" s="11" t="inlineStr">
        <is>
          <t>Y</t>
        </is>
      </c>
      <c r="H16" s="18" t="inlineStr">
        <is>
          <t>Coffee</t>
        </is>
      </c>
      <c r="I16" s="18" t="inlineStr">
        <is>
          <t>Ammonium sulfate</t>
        </is>
      </c>
      <c r="J16" s="11" t="inlineStr">
        <is>
          <t>Y</t>
        </is>
      </c>
      <c r="K16" s="11" t="n"/>
      <c r="L16" s="19" t="n"/>
    </row>
    <row r="17">
      <c r="A17" s="16" t="inlineStr">
        <is>
          <t>C3</t>
        </is>
      </c>
      <c r="B17" s="17" t="n">
        <v>3</v>
      </c>
      <c r="C17" s="17" t="inlineStr">
        <is>
          <t>C</t>
        </is>
      </c>
      <c r="D17" s="11" t="inlineStr">
        <is>
          <t>minus_variable_control</t>
        </is>
      </c>
      <c r="E17" s="11" t="inlineStr">
        <is>
          <t>B2002</t>
        </is>
      </c>
      <c r="F17" s="11" t="n"/>
      <c r="G17" s="11" t="inlineStr">
        <is>
          <t>Y</t>
        </is>
      </c>
      <c r="H17" s="18" t="inlineStr">
        <is>
          <t>Coffee</t>
        </is>
      </c>
      <c r="I17" s="18" t="inlineStr">
        <is>
          <t>Ammonium sulfate</t>
        </is>
      </c>
      <c r="J17" s="11" t="inlineStr">
        <is>
          <t>Y</t>
        </is>
      </c>
      <c r="K17" s="11" t="n"/>
      <c r="L17" s="19" t="n"/>
    </row>
    <row r="18">
      <c r="A18" s="16" t="inlineStr">
        <is>
          <t>D3</t>
        </is>
      </c>
      <c r="B18" s="17" t="n">
        <v>3</v>
      </c>
      <c r="C18" s="17" t="inlineStr">
        <is>
          <t>D</t>
        </is>
      </c>
      <c r="D18" s="11" t="inlineStr">
        <is>
          <t>sample</t>
        </is>
      </c>
      <c r="E18" s="11" t="inlineStr">
        <is>
          <t>UM1</t>
        </is>
      </c>
      <c r="F18" s="11" t="n">
        <v>1</v>
      </c>
      <c r="G18" s="11" t="inlineStr">
        <is>
          <t>Y</t>
        </is>
      </c>
      <c r="H18" s="18" t="inlineStr">
        <is>
          <t>Coffee</t>
        </is>
      </c>
      <c r="I18" s="18" t="inlineStr">
        <is>
          <t>Ammonium sulfate</t>
        </is>
      </c>
      <c r="J18" s="11" t="inlineStr">
        <is>
          <t>Y</t>
        </is>
      </c>
      <c r="K18" s="11" t="n"/>
      <c r="L18" s="19" t="n"/>
    </row>
    <row r="19">
      <c r="A19" s="16" t="inlineStr">
        <is>
          <t>E3</t>
        </is>
      </c>
      <c r="B19" s="17" t="n">
        <v>3</v>
      </c>
      <c r="C19" s="17" t="inlineStr">
        <is>
          <t>E</t>
        </is>
      </c>
      <c r="D19" s="11" t="inlineStr">
        <is>
          <t>sample</t>
        </is>
      </c>
      <c r="E19" s="11" t="n">
        <v>6205</v>
      </c>
      <c r="F19" s="11" t="n">
        <v>1</v>
      </c>
      <c r="G19" s="11" t="inlineStr">
        <is>
          <t>Y</t>
        </is>
      </c>
      <c r="H19" s="18" t="inlineStr">
        <is>
          <t>Coffee</t>
        </is>
      </c>
      <c r="I19" s="18" t="inlineStr">
        <is>
          <t>Ammonium sulfate</t>
        </is>
      </c>
      <c r="J19" s="11" t="inlineStr">
        <is>
          <t>Y</t>
        </is>
      </c>
      <c r="K19" s="11" t="n"/>
      <c r="L19" s="19" t="n"/>
    </row>
    <row r="21">
      <c r="A21" s="3" t="inlineStr">
        <is>
          <t>Sanity check</t>
        </is>
      </c>
    </row>
    <row r="22">
      <c r="A22" s="25" t="inlineStr">
        <is>
          <t>Rows with a Role filled in (want 15)</t>
        </is>
      </c>
      <c r="D22" s="26">
        <f>COUNTA(D5:D19)</f>
        <v/>
      </c>
    </row>
    <row r="23">
      <c r="A23" s="25" t="inlineStr">
        <is>
          <t>Plates marked 'sample' (want 12)</t>
        </is>
      </c>
      <c r="D23" s="26">
        <f>COUNTIF(D5:D19,"sample")</f>
        <v/>
      </c>
    </row>
    <row r="24">
      <c r="A24" s="25" t="inlineStr">
        <is>
          <t>Plates marked 'water' (want 1)</t>
        </is>
      </c>
      <c r="D24" s="26">
        <f>COUNTIF(D5:D19,"water")</f>
        <v/>
      </c>
    </row>
    <row r="25">
      <c r="A25" s="25" t="inlineStr">
        <is>
          <t>Plates marked 'contamination_control' (want 1)</t>
        </is>
      </c>
      <c r="D25" s="26">
        <f>COUNTIF(D5:D14,"contamination_control")</f>
        <v/>
      </c>
    </row>
    <row r="26">
      <c r="A26" s="25" t="inlineStr">
        <is>
          <t>Plates marked 'minus_variable_control' (want 1)</t>
        </is>
      </c>
      <c r="D26" s="26">
        <f>COUNTIF(D5:D19,"minus_variable_control")</f>
        <v/>
      </c>
    </row>
    <row r="27">
      <c r="A27" s="25" t="inlineStr">
        <is>
          <t>Sample plates with a strain assigned (want 12)</t>
        </is>
      </c>
      <c r="D27" s="26">
        <f t="array" ref="D27">SUMPRODUCT((D5:D19="sample")*(E5:E19&lt;&gt;""))</f>
        <v/>
      </c>
    </row>
    <row r="28">
      <c r="A28" s="25" t="inlineStr">
        <is>
          <t>Sample plates with a replicate number (want 12)</t>
        </is>
      </c>
      <c r="D28" s="26">
        <f t="array" ref="D28">SUMPRODUCT((D5:D19="sample")*(F5:F19&lt;&gt;""))</f>
        <v/>
      </c>
    </row>
    <row r="29">
      <c r="A29" s="25" t="inlineStr">
        <is>
          <t>Duplicate strain+replicate pairs (want 0)</t>
        </is>
      </c>
      <c r="D29" s="26">
        <f t="array" ref="D29"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topLeftCell="D1" workbookViewId="0">
      <pane ySplit="4" topLeftCell="A5" activePane="bottomLeft" state="frozen"/>
      <selection pane="bottomLeft" activeCell="D22" sqref="D22:D29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7" t="inlineStr">
        <is>
          <t>Plate map — Dextrose Ammonium Sulfate Fresh Spores</t>
        </is>
      </c>
    </row>
    <row r="2">
      <c r="A2" s="8" t="inlineStr">
        <is>
          <t>Yellow cells = fill in. Grey cells = fixed, do not edit. Row 4 is a worked EXAMPLE — delete it or leave it, the loader ignores row 4.</t>
        </is>
      </c>
    </row>
    <row r="3" ht="28" customHeight="1">
      <c r="A3" s="9" t="inlineStr">
        <is>
          <t>Plate</t>
        </is>
      </c>
      <c r="B3" s="9" t="inlineStr">
        <is>
          <t>Grid_Row</t>
        </is>
      </c>
      <c r="C3" s="9" t="inlineStr">
        <is>
          <t>Grid_Col</t>
        </is>
      </c>
      <c r="D3" s="9" t="inlineStr">
        <is>
          <t>Role</t>
        </is>
      </c>
      <c r="E3" s="9" t="inlineStr">
        <is>
          <t>Strain</t>
        </is>
      </c>
      <c r="F3" s="9" t="inlineStr">
        <is>
          <t>Replicate</t>
        </is>
      </c>
      <c r="G3" s="9" t="inlineStr">
        <is>
          <t>Spores</t>
        </is>
      </c>
      <c r="H3" s="9" t="inlineStr">
        <is>
          <t>Carbon</t>
        </is>
      </c>
      <c r="I3" s="9" t="inlineStr">
        <is>
          <t>Nitrogen</t>
        </is>
      </c>
      <c r="J3" s="9" t="inlineStr">
        <is>
          <t>Include</t>
        </is>
      </c>
      <c r="K3" s="9" t="inlineStr">
        <is>
          <t>Baseline_Frame</t>
        </is>
      </c>
      <c r="L3" s="9" t="inlineStr">
        <is>
          <t>Notes</t>
        </is>
      </c>
    </row>
    <row r="4" ht="16" customHeight="1" thickBot="1">
      <c r="A4" s="15" t="inlineStr">
        <is>
          <t>EXAMPLE</t>
        </is>
      </c>
      <c r="B4" s="15" t="n">
        <v>1</v>
      </c>
      <c r="C4" s="15" t="inlineStr">
        <is>
          <t>A</t>
        </is>
      </c>
      <c r="D4" s="15" t="inlineStr">
        <is>
          <t>sample</t>
        </is>
      </c>
      <c r="E4" s="15" t="inlineStr">
        <is>
          <t>STRAIN_1</t>
        </is>
      </c>
      <c r="F4" s="15" t="n">
        <v>1</v>
      </c>
      <c r="G4" s="15" t="inlineStr">
        <is>
          <t>Y</t>
        </is>
      </c>
      <c r="H4" s="15" t="inlineStr">
        <is>
          <t>Dextrose</t>
        </is>
      </c>
      <c r="I4" s="15" t="inlineStr">
        <is>
          <t>Ammonium sulfate</t>
        </is>
      </c>
      <c r="J4" s="15" t="inlineStr">
        <is>
          <t>Y</t>
        </is>
      </c>
      <c r="K4" s="15" t="inlineStr">
        <is>
          <t>auto</t>
        </is>
      </c>
      <c r="L4" s="15" t="inlineStr">
        <is>
          <t>example only — loader skips this row</t>
        </is>
      </c>
    </row>
    <row r="5">
      <c r="A5" s="16" t="inlineStr">
        <is>
          <t>A1</t>
        </is>
      </c>
      <c r="B5" s="17" t="n">
        <v>1</v>
      </c>
      <c r="C5" s="17" t="inlineStr">
        <is>
          <t>A</t>
        </is>
      </c>
      <c r="D5" s="22" t="inlineStr">
        <is>
          <t>sample</t>
        </is>
      </c>
      <c r="E5" s="22" t="inlineStr">
        <is>
          <t>NH</t>
        </is>
      </c>
      <c r="F5" s="22" t="n">
        <v>3</v>
      </c>
      <c r="G5" s="22" t="inlineStr">
        <is>
          <t>Y</t>
        </is>
      </c>
      <c r="H5" s="23" t="inlineStr">
        <is>
          <t>Dextrose</t>
        </is>
      </c>
      <c r="I5" s="23" t="inlineStr">
        <is>
          <t>Ammonium sulfate</t>
        </is>
      </c>
      <c r="J5" s="22" t="inlineStr">
        <is>
          <t>Y</t>
        </is>
      </c>
      <c r="K5" s="22" t="n"/>
      <c r="L5" s="19" t="n"/>
    </row>
    <row r="6">
      <c r="A6" s="16" t="inlineStr">
        <is>
          <t>B1</t>
        </is>
      </c>
      <c r="B6" s="17" t="n">
        <v>1</v>
      </c>
      <c r="C6" s="17" t="inlineStr">
        <is>
          <t>B</t>
        </is>
      </c>
      <c r="D6" s="11" t="inlineStr">
        <is>
          <t>sample</t>
        </is>
      </c>
      <c r="E6" s="11" t="inlineStr">
        <is>
          <t>UM1</t>
        </is>
      </c>
      <c r="F6" s="11" t="n">
        <v>3</v>
      </c>
      <c r="G6" s="11" t="inlineStr">
        <is>
          <t>Y</t>
        </is>
      </c>
      <c r="H6" s="18" t="inlineStr">
        <is>
          <t>Dextrose</t>
        </is>
      </c>
      <c r="I6" s="18" t="inlineStr">
        <is>
          <t>Ammonium sulfate</t>
        </is>
      </c>
      <c r="J6" s="11" t="inlineStr">
        <is>
          <t>Y</t>
        </is>
      </c>
      <c r="K6" s="11" t="n"/>
      <c r="L6" s="19" t="n"/>
    </row>
    <row r="7">
      <c r="A7" s="16" t="inlineStr">
        <is>
          <t>C1</t>
        </is>
      </c>
      <c r="B7" s="17" t="n">
        <v>1</v>
      </c>
      <c r="C7" s="17" t="inlineStr">
        <is>
          <t>C</t>
        </is>
      </c>
      <c r="D7" s="11" t="inlineStr">
        <is>
          <t>minus_variable_control</t>
        </is>
      </c>
      <c r="E7" s="11" t="inlineStr">
        <is>
          <t>NH</t>
        </is>
      </c>
      <c r="F7" s="11" t="n"/>
      <c r="G7" s="11" t="inlineStr">
        <is>
          <t>Y</t>
        </is>
      </c>
      <c r="H7" s="18" t="inlineStr">
        <is>
          <t>Dextrose</t>
        </is>
      </c>
      <c r="I7" s="18" t="inlineStr">
        <is>
          <t>Ammonium sulfate</t>
        </is>
      </c>
      <c r="J7" s="11" t="inlineStr">
        <is>
          <t>Y</t>
        </is>
      </c>
      <c r="K7" s="11" t="n"/>
      <c r="L7" s="19" t="n"/>
    </row>
    <row r="8">
      <c r="A8" s="16" t="inlineStr">
        <is>
          <t>D1</t>
        </is>
      </c>
      <c r="B8" s="17" t="n">
        <v>1</v>
      </c>
      <c r="C8" s="17" t="inlineStr">
        <is>
          <t>D</t>
        </is>
      </c>
      <c r="D8" s="11" t="inlineStr">
        <is>
          <t>sample</t>
        </is>
      </c>
      <c r="E8" s="11" t="n">
        <v>6205</v>
      </c>
      <c r="F8" s="11" t="n">
        <v>3</v>
      </c>
      <c r="G8" s="11" t="inlineStr">
        <is>
          <t>Y</t>
        </is>
      </c>
      <c r="H8" s="18" t="inlineStr">
        <is>
          <t>Dextrose</t>
        </is>
      </c>
      <c r="I8" s="18" t="inlineStr">
        <is>
          <t>Ammonium sulfate</t>
        </is>
      </c>
      <c r="J8" s="11" t="inlineStr">
        <is>
          <t>Y</t>
        </is>
      </c>
      <c r="K8" s="11" t="n"/>
      <c r="L8" s="19" t="n"/>
    </row>
    <row r="9" ht="16" customHeight="1" thickBot="1">
      <c r="A9" s="16" t="inlineStr">
        <is>
          <t>E1</t>
        </is>
      </c>
      <c r="B9" s="17" t="n">
        <v>1</v>
      </c>
      <c r="C9" s="17" t="inlineStr">
        <is>
          <t>E</t>
        </is>
      </c>
      <c r="D9" s="11" t="inlineStr">
        <is>
          <t>sample</t>
        </is>
      </c>
      <c r="E9" s="11" t="inlineStr">
        <is>
          <t>B2002</t>
        </is>
      </c>
      <c r="F9" s="11" t="n">
        <v>3</v>
      </c>
      <c r="G9" s="11" t="inlineStr">
        <is>
          <t>Y</t>
        </is>
      </c>
      <c r="H9" s="18" t="inlineStr">
        <is>
          <t>Dextrose</t>
        </is>
      </c>
      <c r="I9" s="18" t="inlineStr">
        <is>
          <t>Ammonium sulfate</t>
        </is>
      </c>
      <c r="J9" s="11" t="inlineStr">
        <is>
          <t>Y</t>
        </is>
      </c>
      <c r="K9" s="11" t="n"/>
      <c r="L9" s="19" t="n"/>
    </row>
    <row r="10">
      <c r="A10" s="20" t="inlineStr">
        <is>
          <t>A2</t>
        </is>
      </c>
      <c r="B10" s="21" t="n">
        <v>2</v>
      </c>
      <c r="C10" s="21" t="inlineStr">
        <is>
          <t>A</t>
        </is>
      </c>
      <c r="D10" s="22" t="inlineStr">
        <is>
          <t>sample</t>
        </is>
      </c>
      <c r="E10" s="22" t="inlineStr">
        <is>
          <t>NH</t>
        </is>
      </c>
      <c r="F10" s="22" t="n">
        <v>2</v>
      </c>
      <c r="G10" s="22" t="inlineStr">
        <is>
          <t>Y</t>
        </is>
      </c>
      <c r="H10" s="23" t="inlineStr">
        <is>
          <t>Dextrose</t>
        </is>
      </c>
      <c r="I10" s="23" t="inlineStr">
        <is>
          <t>Ammonium sulfate</t>
        </is>
      </c>
      <c r="J10" s="22" t="inlineStr">
        <is>
          <t>Y</t>
        </is>
      </c>
      <c r="K10" s="22" t="n"/>
      <c r="L10" s="24" t="n"/>
    </row>
    <row r="11">
      <c r="A11" s="16" t="inlineStr">
        <is>
          <t>B2</t>
        </is>
      </c>
      <c r="B11" s="17" t="n">
        <v>2</v>
      </c>
      <c r="C11" s="17" t="inlineStr">
        <is>
          <t>B</t>
        </is>
      </c>
      <c r="D11" s="11" t="inlineStr">
        <is>
          <t>sample</t>
        </is>
      </c>
      <c r="E11" s="11" t="inlineStr">
        <is>
          <t>UM1</t>
        </is>
      </c>
      <c r="F11" s="11" t="n">
        <v>2</v>
      </c>
      <c r="G11" s="11" t="inlineStr">
        <is>
          <t>Y</t>
        </is>
      </c>
      <c r="H11" s="18" t="inlineStr">
        <is>
          <t>Dextrose</t>
        </is>
      </c>
      <c r="I11" s="18" t="inlineStr">
        <is>
          <t>Ammonium sulfate</t>
        </is>
      </c>
      <c r="J11" s="11" t="inlineStr">
        <is>
          <t>Y</t>
        </is>
      </c>
      <c r="K11" s="11" t="n"/>
      <c r="L11" s="19" t="n"/>
    </row>
    <row r="12">
      <c r="A12" s="16" t="inlineStr">
        <is>
          <t>C2</t>
        </is>
      </c>
      <c r="B12" s="17" t="n">
        <v>2</v>
      </c>
      <c r="C12" s="17" t="inlineStr">
        <is>
          <t>C</t>
        </is>
      </c>
      <c r="D12" s="11" t="inlineStr">
        <is>
          <t>water</t>
        </is>
      </c>
      <c r="E12" s="11" t="n"/>
      <c r="F12" s="11" t="n"/>
      <c r="G12" s="11" t="inlineStr">
        <is>
          <t>N</t>
        </is>
      </c>
      <c r="H12" s="18" t="inlineStr">
        <is>
          <t>Dextrose</t>
        </is>
      </c>
      <c r="I12" s="18" t="inlineStr">
        <is>
          <t>Ammonium sulfate</t>
        </is>
      </c>
      <c r="J12" s="11" t="inlineStr">
        <is>
          <t>N</t>
        </is>
      </c>
      <c r="K12" s="11" t="n"/>
      <c r="L12" s="19" t="n"/>
    </row>
    <row r="13">
      <c r="A13" s="16" t="inlineStr">
        <is>
          <t>D2</t>
        </is>
      </c>
      <c r="B13" s="17" t="n">
        <v>2</v>
      </c>
      <c r="C13" s="17" t="inlineStr">
        <is>
          <t>D</t>
        </is>
      </c>
      <c r="D13" s="11" t="inlineStr">
        <is>
          <t>sample</t>
        </is>
      </c>
      <c r="E13" s="11" t="n">
        <v>6205</v>
      </c>
      <c r="F13" s="11" t="n">
        <v>2</v>
      </c>
      <c r="G13" s="11" t="inlineStr">
        <is>
          <t>Y</t>
        </is>
      </c>
      <c r="H13" s="18" t="inlineStr">
        <is>
          <t>Dextrose</t>
        </is>
      </c>
      <c r="I13" s="18" t="inlineStr">
        <is>
          <t>Ammonium sulfate</t>
        </is>
      </c>
      <c r="J13" s="11" t="inlineStr">
        <is>
          <t>Y</t>
        </is>
      </c>
      <c r="K13" s="11" t="n"/>
      <c r="L13" s="19" t="n"/>
    </row>
    <row r="14" ht="16" customHeight="1" thickBot="1">
      <c r="A14" s="16" t="inlineStr">
        <is>
          <t>E2</t>
        </is>
      </c>
      <c r="B14" s="17" t="n">
        <v>2</v>
      </c>
      <c r="C14" s="17" t="inlineStr">
        <is>
          <t>E</t>
        </is>
      </c>
      <c r="D14" s="11" t="inlineStr">
        <is>
          <t>sample</t>
        </is>
      </c>
      <c r="E14" s="11" t="inlineStr">
        <is>
          <t>B2002</t>
        </is>
      </c>
      <c r="F14" s="11" t="n">
        <v>2</v>
      </c>
      <c r="G14" s="11" t="inlineStr">
        <is>
          <t>Y</t>
        </is>
      </c>
      <c r="H14" s="18" t="inlineStr">
        <is>
          <t>Dextrose</t>
        </is>
      </c>
      <c r="I14" s="18" t="inlineStr">
        <is>
          <t>Ammonium sulfate</t>
        </is>
      </c>
      <c r="J14" s="11" t="inlineStr">
        <is>
          <t>Y</t>
        </is>
      </c>
      <c r="K14" s="11" t="n"/>
      <c r="L14" s="19" t="n"/>
    </row>
    <row r="15">
      <c r="A15" s="20" t="inlineStr">
        <is>
          <t>A3</t>
        </is>
      </c>
      <c r="B15" s="21" t="n">
        <v>3</v>
      </c>
      <c r="C15" s="21" t="inlineStr">
        <is>
          <t>A</t>
        </is>
      </c>
      <c r="D15" s="11" t="inlineStr">
        <is>
          <t>sample</t>
        </is>
      </c>
      <c r="E15" s="11" t="inlineStr">
        <is>
          <t>NH</t>
        </is>
      </c>
      <c r="F15" s="11" t="n">
        <v>1</v>
      </c>
      <c r="G15" s="11" t="inlineStr">
        <is>
          <t>Y</t>
        </is>
      </c>
      <c r="H15" s="18" t="inlineStr">
        <is>
          <t>Dextrose</t>
        </is>
      </c>
      <c r="I15" s="18" t="inlineStr">
        <is>
          <t>Ammonium sulfate</t>
        </is>
      </c>
      <c r="J15" s="11" t="inlineStr">
        <is>
          <t>Y</t>
        </is>
      </c>
      <c r="K15" s="11" t="n"/>
      <c r="L15" s="24" t="n"/>
    </row>
    <row r="16">
      <c r="A16" s="16" t="inlineStr">
        <is>
          <t>B3</t>
        </is>
      </c>
      <c r="B16" s="17" t="n">
        <v>3</v>
      </c>
      <c r="C16" s="17" t="inlineStr">
        <is>
          <t>B</t>
        </is>
      </c>
      <c r="D16" s="11" t="inlineStr">
        <is>
          <t>sample</t>
        </is>
      </c>
      <c r="E16" s="11" t="inlineStr">
        <is>
          <t>UM1</t>
        </is>
      </c>
      <c r="F16" s="11" t="n">
        <v>1</v>
      </c>
      <c r="G16" s="11" t="inlineStr">
        <is>
          <t>Y</t>
        </is>
      </c>
      <c r="H16" s="18" t="inlineStr">
        <is>
          <t>Dextrose</t>
        </is>
      </c>
      <c r="I16" s="18" t="inlineStr">
        <is>
          <t>Ammonium sulfate</t>
        </is>
      </c>
      <c r="J16" s="11" t="inlineStr">
        <is>
          <t>Y</t>
        </is>
      </c>
      <c r="K16" s="11" t="n"/>
      <c r="L16" s="19" t="n"/>
    </row>
    <row r="17">
      <c r="A17" s="16" t="inlineStr">
        <is>
          <t>C3</t>
        </is>
      </c>
      <c r="B17" s="17" t="n">
        <v>3</v>
      </c>
      <c r="C17" s="17" t="inlineStr">
        <is>
          <t>C</t>
        </is>
      </c>
      <c r="D17" s="11" t="inlineStr">
        <is>
          <t>contamination_control</t>
        </is>
      </c>
      <c r="E17" s="11" t="n"/>
      <c r="F17" s="11" t="n"/>
      <c r="G17" s="11" t="inlineStr">
        <is>
          <t>N</t>
        </is>
      </c>
      <c r="H17" s="18" t="inlineStr">
        <is>
          <t>Dextrose</t>
        </is>
      </c>
      <c r="I17" s="18" t="inlineStr">
        <is>
          <t>Ammonium sulfate</t>
        </is>
      </c>
      <c r="J17" s="11" t="inlineStr">
        <is>
          <t>Y</t>
        </is>
      </c>
      <c r="K17" s="11" t="n"/>
      <c r="L17" s="19" t="n"/>
    </row>
    <row r="18">
      <c r="A18" s="16" t="inlineStr">
        <is>
          <t>D3</t>
        </is>
      </c>
      <c r="B18" s="17" t="n">
        <v>3</v>
      </c>
      <c r="C18" s="17" t="inlineStr">
        <is>
          <t>D</t>
        </is>
      </c>
      <c r="D18" s="11" t="inlineStr">
        <is>
          <t>sample</t>
        </is>
      </c>
      <c r="E18" s="11" t="n">
        <v>6205</v>
      </c>
      <c r="F18" s="11" t="n">
        <v>1</v>
      </c>
      <c r="G18" s="11" t="inlineStr">
        <is>
          <t>Y</t>
        </is>
      </c>
      <c r="H18" s="18" t="inlineStr">
        <is>
          <t>Dextrose</t>
        </is>
      </c>
      <c r="I18" s="18" t="inlineStr">
        <is>
          <t>Ammonium sulfate</t>
        </is>
      </c>
      <c r="J18" s="11" t="inlineStr">
        <is>
          <t>Y</t>
        </is>
      </c>
      <c r="K18" s="11" t="n"/>
      <c r="L18" s="19" t="n"/>
    </row>
    <row r="19">
      <c r="A19" s="16" t="inlineStr">
        <is>
          <t>E3</t>
        </is>
      </c>
      <c r="B19" s="17" t="n">
        <v>3</v>
      </c>
      <c r="C19" s="17" t="inlineStr">
        <is>
          <t>E</t>
        </is>
      </c>
      <c r="D19" s="11" t="inlineStr">
        <is>
          <t>sample</t>
        </is>
      </c>
      <c r="E19" s="11" t="inlineStr">
        <is>
          <t>B2002</t>
        </is>
      </c>
      <c r="F19" s="11" t="n">
        <v>1</v>
      </c>
      <c r="G19" s="11" t="inlineStr">
        <is>
          <t>Y</t>
        </is>
      </c>
      <c r="H19" s="18" t="inlineStr">
        <is>
          <t>Dextrose</t>
        </is>
      </c>
      <c r="I19" s="18" t="inlineStr">
        <is>
          <t>Ammonium sulfate</t>
        </is>
      </c>
      <c r="J19" s="11" t="inlineStr">
        <is>
          <t>Y</t>
        </is>
      </c>
      <c r="K19" s="11" t="n"/>
      <c r="L19" s="19" t="n"/>
    </row>
    <row r="21">
      <c r="A21" s="3" t="inlineStr">
        <is>
          <t>Sanity check</t>
        </is>
      </c>
    </row>
    <row r="22">
      <c r="A22" s="25" t="inlineStr">
        <is>
          <t>Rows with a Role filled in (want 15)</t>
        </is>
      </c>
      <c r="D22" s="26">
        <f>COUNTA(D5:D19)</f>
        <v/>
      </c>
    </row>
    <row r="23">
      <c r="A23" s="25" t="inlineStr">
        <is>
          <t>Plates marked 'sample' (want 12)</t>
        </is>
      </c>
      <c r="D23" s="26">
        <f>COUNTIF(D5:D19,"sample")</f>
        <v/>
      </c>
    </row>
    <row r="24">
      <c r="A24" s="25" t="inlineStr">
        <is>
          <t>Plates marked 'water' (want 1)</t>
        </is>
      </c>
      <c r="D24" s="26">
        <f>COUNTIF(D5:D19,"water")</f>
        <v/>
      </c>
    </row>
    <row r="25">
      <c r="A25" s="25" t="inlineStr">
        <is>
          <t>Plates marked 'contamination_control' (want 1)</t>
        </is>
      </c>
      <c r="D25" s="26">
        <f>COUNTIF(D5:D14,"contamination_control")</f>
        <v/>
      </c>
    </row>
    <row r="26">
      <c r="A26" s="25" t="inlineStr">
        <is>
          <t>Plates marked 'minus_variable_control' (want 1)</t>
        </is>
      </c>
      <c r="D26" s="26">
        <f>COUNTIF(D5:D19,"minus_variable_control")</f>
        <v/>
      </c>
    </row>
    <row r="27">
      <c r="A27" s="25" t="inlineStr">
        <is>
          <t>Sample plates with a strain assigned (want 12)</t>
        </is>
      </c>
      <c r="D27" s="26">
        <f t="array" ref="D27">SUMPRODUCT((D5:D19="sample")*(E5:E19&lt;&gt;""))</f>
        <v/>
      </c>
    </row>
    <row r="28">
      <c r="A28" s="25" t="inlineStr">
        <is>
          <t>Sample plates with a replicate number (want 12)</t>
        </is>
      </c>
      <c r="D28" s="26">
        <f t="array" ref="D28">SUMPRODUCT((D5:D19="sample")*(F5:F19&lt;&gt;""))</f>
        <v/>
      </c>
    </row>
    <row r="29">
      <c r="A29" s="25" t="inlineStr">
        <is>
          <t>Duplicate strain+replicate pairs (want 0)</t>
        </is>
      </c>
      <c r="D29" s="26">
        <f t="array" ref="D29"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D22" sqref="D22:D29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7" t="inlineStr">
        <is>
          <t>Plate map — Dextrose Sodium Nitrate</t>
        </is>
      </c>
    </row>
    <row r="2">
      <c r="A2" s="8" t="inlineStr">
        <is>
          <t>Yellow cells = fill in. Grey cells = fixed, do not edit. Row 4 is a worked EXAMPLE — delete it or leave it, the loader ignores row 4.</t>
        </is>
      </c>
    </row>
    <row r="3" ht="28" customHeight="1">
      <c r="A3" s="9" t="inlineStr">
        <is>
          <t>Plate</t>
        </is>
      </c>
      <c r="B3" s="9" t="inlineStr">
        <is>
          <t>Grid_Row</t>
        </is>
      </c>
      <c r="C3" s="9" t="inlineStr">
        <is>
          <t>Grid_Col</t>
        </is>
      </c>
      <c r="D3" s="9" t="inlineStr">
        <is>
          <t>Role</t>
        </is>
      </c>
      <c r="E3" s="9" t="inlineStr">
        <is>
          <t>Strain</t>
        </is>
      </c>
      <c r="F3" s="9" t="inlineStr">
        <is>
          <t>Replicate</t>
        </is>
      </c>
      <c r="G3" s="9" t="inlineStr">
        <is>
          <t>Spores</t>
        </is>
      </c>
      <c r="H3" s="9" t="inlineStr">
        <is>
          <t>Carbon</t>
        </is>
      </c>
      <c r="I3" s="9" t="inlineStr">
        <is>
          <t>Nitrogen</t>
        </is>
      </c>
      <c r="J3" s="9" t="inlineStr">
        <is>
          <t>Include</t>
        </is>
      </c>
      <c r="K3" s="9" t="inlineStr">
        <is>
          <t>Baseline_Frame</t>
        </is>
      </c>
      <c r="L3" s="9" t="inlineStr">
        <is>
          <t>Notes</t>
        </is>
      </c>
    </row>
    <row r="4" ht="16" customHeight="1" thickBot="1">
      <c r="A4" s="15" t="inlineStr">
        <is>
          <t>EXAMPLE</t>
        </is>
      </c>
      <c r="B4" s="15" t="n">
        <v>1</v>
      </c>
      <c r="C4" s="15" t="inlineStr">
        <is>
          <t>A</t>
        </is>
      </c>
      <c r="D4" s="15" t="inlineStr">
        <is>
          <t>sample</t>
        </is>
      </c>
      <c r="E4" s="15" t="inlineStr">
        <is>
          <t>STRAIN_1</t>
        </is>
      </c>
      <c r="F4" s="15" t="n">
        <v>1</v>
      </c>
      <c r="G4" s="15" t="inlineStr">
        <is>
          <t>Y</t>
        </is>
      </c>
      <c r="H4" s="15" t="inlineStr">
        <is>
          <t>Dextrose</t>
        </is>
      </c>
      <c r="I4" s="15" t="inlineStr">
        <is>
          <t>Sodium nitrate</t>
        </is>
      </c>
      <c r="J4" s="15" t="inlineStr">
        <is>
          <t>Y</t>
        </is>
      </c>
      <c r="K4" s="15" t="inlineStr">
        <is>
          <t>auto</t>
        </is>
      </c>
      <c r="L4" s="15" t="inlineStr">
        <is>
          <t>example only — loader skips this row</t>
        </is>
      </c>
    </row>
    <row r="5">
      <c r="A5" s="16" t="inlineStr">
        <is>
          <t>A1</t>
        </is>
      </c>
      <c r="B5" s="17" t="n">
        <v>1</v>
      </c>
      <c r="C5" s="17" t="inlineStr">
        <is>
          <t>A</t>
        </is>
      </c>
      <c r="D5" s="22" t="inlineStr">
        <is>
          <t>sample</t>
        </is>
      </c>
      <c r="E5" s="22" t="inlineStr">
        <is>
          <t>UM1</t>
        </is>
      </c>
      <c r="F5" s="22" t="n">
        <v>3</v>
      </c>
      <c r="G5" s="22" t="inlineStr">
        <is>
          <t>Y</t>
        </is>
      </c>
      <c r="H5" s="23" t="inlineStr">
        <is>
          <t>Dextrose</t>
        </is>
      </c>
      <c r="I5" s="23" t="inlineStr">
        <is>
          <t>Sodium nitrate</t>
        </is>
      </c>
      <c r="J5" s="22" t="inlineStr">
        <is>
          <t>Y</t>
        </is>
      </c>
      <c r="K5" s="22" t="n"/>
      <c r="L5" s="19" t="n"/>
    </row>
    <row r="6">
      <c r="A6" s="16" t="inlineStr">
        <is>
          <t>B1</t>
        </is>
      </c>
      <c r="B6" s="17" t="n">
        <v>1</v>
      </c>
      <c r="C6" s="17" t="inlineStr">
        <is>
          <t>B</t>
        </is>
      </c>
      <c r="D6" s="11" t="inlineStr">
        <is>
          <t>contamination_control</t>
        </is>
      </c>
      <c r="E6" s="11" t="n"/>
      <c r="F6" s="11" t="n"/>
      <c r="G6" s="11" t="inlineStr">
        <is>
          <t>N</t>
        </is>
      </c>
      <c r="H6" s="18" t="inlineStr">
        <is>
          <t>Dextrose</t>
        </is>
      </c>
      <c r="I6" s="18" t="inlineStr">
        <is>
          <t>Sodium nitrate</t>
        </is>
      </c>
      <c r="J6" s="11" t="inlineStr">
        <is>
          <t>Y</t>
        </is>
      </c>
      <c r="K6" s="11" t="n"/>
      <c r="L6" s="19" t="n"/>
    </row>
    <row r="7">
      <c r="A7" s="16" t="inlineStr">
        <is>
          <t>C1</t>
        </is>
      </c>
      <c r="B7" s="17" t="n">
        <v>1</v>
      </c>
      <c r="C7" s="17" t="inlineStr">
        <is>
          <t>C</t>
        </is>
      </c>
      <c r="D7" s="11" t="inlineStr">
        <is>
          <t>sample</t>
        </is>
      </c>
      <c r="E7" s="11" t="inlineStr">
        <is>
          <t>B2002</t>
        </is>
      </c>
      <c r="F7" s="11" t="n">
        <v>3</v>
      </c>
      <c r="G7" s="11" t="inlineStr">
        <is>
          <t>Y</t>
        </is>
      </c>
      <c r="H7" s="18" t="inlineStr">
        <is>
          <t>Dextrose</t>
        </is>
      </c>
      <c r="I7" s="18" t="inlineStr">
        <is>
          <t>Sodium nitrate</t>
        </is>
      </c>
      <c r="J7" s="11" t="inlineStr">
        <is>
          <t>Y</t>
        </is>
      </c>
      <c r="K7" s="11" t="n"/>
      <c r="L7" s="19" t="n"/>
    </row>
    <row r="8">
      <c r="A8" s="16" t="inlineStr">
        <is>
          <t>D1</t>
        </is>
      </c>
      <c r="B8" s="17" t="n">
        <v>1</v>
      </c>
      <c r="C8" s="17" t="inlineStr">
        <is>
          <t>D</t>
        </is>
      </c>
      <c r="D8" s="11" t="inlineStr">
        <is>
          <t>sample</t>
        </is>
      </c>
      <c r="E8" s="11" t="inlineStr">
        <is>
          <t>NH</t>
        </is>
      </c>
      <c r="F8" s="11" t="n">
        <v>3</v>
      </c>
      <c r="G8" s="11" t="inlineStr">
        <is>
          <t>Y</t>
        </is>
      </c>
      <c r="H8" s="18" t="inlineStr">
        <is>
          <t>Dextrose</t>
        </is>
      </c>
      <c r="I8" s="18" t="inlineStr">
        <is>
          <t>Sodium nitrate</t>
        </is>
      </c>
      <c r="J8" s="11" t="inlineStr">
        <is>
          <t>Y</t>
        </is>
      </c>
      <c r="K8" s="11" t="n"/>
      <c r="L8" s="19" t="n"/>
    </row>
    <row r="9" ht="16" customHeight="1" thickBot="1">
      <c r="A9" s="16" t="inlineStr">
        <is>
          <t>E1</t>
        </is>
      </c>
      <c r="B9" s="17" t="n">
        <v>1</v>
      </c>
      <c r="C9" s="17" t="inlineStr">
        <is>
          <t>E</t>
        </is>
      </c>
      <c r="D9" s="11" t="inlineStr">
        <is>
          <t>sample</t>
        </is>
      </c>
      <c r="E9" s="11" t="n">
        <v>6205</v>
      </c>
      <c r="F9" s="11" t="n">
        <v>3</v>
      </c>
      <c r="G9" s="11" t="inlineStr">
        <is>
          <t>Y</t>
        </is>
      </c>
      <c r="H9" s="18" t="inlineStr">
        <is>
          <t>Dextrose</t>
        </is>
      </c>
      <c r="I9" s="18" t="inlineStr">
        <is>
          <t>Sodium nitrate</t>
        </is>
      </c>
      <c r="J9" s="11" t="inlineStr">
        <is>
          <t>Y</t>
        </is>
      </c>
      <c r="K9" s="11" t="n"/>
      <c r="L9" s="19" t="n"/>
    </row>
    <row r="10">
      <c r="A10" s="20" t="inlineStr">
        <is>
          <t>A2</t>
        </is>
      </c>
      <c r="B10" s="21" t="n">
        <v>2</v>
      </c>
      <c r="C10" s="21" t="inlineStr">
        <is>
          <t>A</t>
        </is>
      </c>
      <c r="D10" s="22" t="inlineStr">
        <is>
          <t>sample</t>
        </is>
      </c>
      <c r="E10" s="22" t="n">
        <v>6205</v>
      </c>
      <c r="F10" s="22" t="n">
        <v>2</v>
      </c>
      <c r="G10" s="22" t="inlineStr">
        <is>
          <t>Y</t>
        </is>
      </c>
      <c r="H10" s="23" t="inlineStr">
        <is>
          <t>Dextrose</t>
        </is>
      </c>
      <c r="I10" s="23" t="inlineStr">
        <is>
          <t>Sodium nitrate</t>
        </is>
      </c>
      <c r="J10" s="22" t="inlineStr">
        <is>
          <t>Y</t>
        </is>
      </c>
      <c r="K10" s="22" t="n"/>
      <c r="L10" s="24" t="n"/>
    </row>
    <row r="11">
      <c r="A11" s="16" t="inlineStr">
        <is>
          <t>B2</t>
        </is>
      </c>
      <c r="B11" s="17" t="n">
        <v>2</v>
      </c>
      <c r="C11" s="17" t="inlineStr">
        <is>
          <t>B</t>
        </is>
      </c>
      <c r="D11" s="11" t="inlineStr">
        <is>
          <t>sample</t>
        </is>
      </c>
      <c r="E11" s="11" t="inlineStr">
        <is>
          <t>UM1</t>
        </is>
      </c>
      <c r="F11" s="11" t="n">
        <v>2</v>
      </c>
      <c r="G11" s="11" t="inlineStr">
        <is>
          <t>Y</t>
        </is>
      </c>
      <c r="H11" s="18" t="inlineStr">
        <is>
          <t>Dextrose</t>
        </is>
      </c>
      <c r="I11" s="18" t="inlineStr">
        <is>
          <t>Sodium nitrate</t>
        </is>
      </c>
      <c r="J11" s="11" t="inlineStr">
        <is>
          <t>Y</t>
        </is>
      </c>
      <c r="K11" s="11" t="n"/>
      <c r="L11" s="19" t="n"/>
    </row>
    <row r="12">
      <c r="A12" s="16" t="inlineStr">
        <is>
          <t>C2</t>
        </is>
      </c>
      <c r="B12" s="17" t="n">
        <v>2</v>
      </c>
      <c r="C12" s="17" t="inlineStr">
        <is>
          <t>C</t>
        </is>
      </c>
      <c r="D12" s="11" t="inlineStr">
        <is>
          <t>water</t>
        </is>
      </c>
      <c r="E12" s="11" t="n"/>
      <c r="F12" s="11" t="n"/>
      <c r="G12" s="11" t="inlineStr">
        <is>
          <t>N</t>
        </is>
      </c>
      <c r="H12" s="18" t="inlineStr">
        <is>
          <t>Dextrose</t>
        </is>
      </c>
      <c r="I12" s="18" t="inlineStr">
        <is>
          <t>Sodium nitrate</t>
        </is>
      </c>
      <c r="J12" s="11" t="inlineStr">
        <is>
          <t>N</t>
        </is>
      </c>
      <c r="K12" s="11" t="n"/>
      <c r="L12" s="19" t="n"/>
    </row>
    <row r="13">
      <c r="A13" s="16" t="inlineStr">
        <is>
          <t>D2</t>
        </is>
      </c>
      <c r="B13" s="17" t="n">
        <v>2</v>
      </c>
      <c r="C13" s="17" t="inlineStr">
        <is>
          <t>D</t>
        </is>
      </c>
      <c r="D13" s="11" t="inlineStr">
        <is>
          <t>sample</t>
        </is>
      </c>
      <c r="E13" s="11" t="inlineStr">
        <is>
          <t>B2002</t>
        </is>
      </c>
      <c r="F13" s="11" t="n">
        <v>2</v>
      </c>
      <c r="G13" s="11" t="inlineStr">
        <is>
          <t>Y</t>
        </is>
      </c>
      <c r="H13" s="18" t="inlineStr">
        <is>
          <t>Dextrose</t>
        </is>
      </c>
      <c r="I13" s="18" t="inlineStr">
        <is>
          <t>Sodium nitrate</t>
        </is>
      </c>
      <c r="J13" s="11" t="inlineStr">
        <is>
          <t>Y</t>
        </is>
      </c>
      <c r="K13" s="11" t="n"/>
      <c r="L13" s="19" t="n"/>
    </row>
    <row r="14" ht="16" customHeight="1" thickBot="1">
      <c r="A14" s="16" t="inlineStr">
        <is>
          <t>E2</t>
        </is>
      </c>
      <c r="B14" s="17" t="n">
        <v>2</v>
      </c>
      <c r="C14" s="17" t="inlineStr">
        <is>
          <t>E</t>
        </is>
      </c>
      <c r="D14" s="11" t="inlineStr">
        <is>
          <t>sample</t>
        </is>
      </c>
      <c r="E14" s="11" t="inlineStr">
        <is>
          <t>NH</t>
        </is>
      </c>
      <c r="F14" s="11" t="n">
        <v>2</v>
      </c>
      <c r="G14" s="11" t="inlineStr">
        <is>
          <t>Y</t>
        </is>
      </c>
      <c r="H14" s="18" t="inlineStr">
        <is>
          <t>Dextrose</t>
        </is>
      </c>
      <c r="I14" s="18" t="inlineStr">
        <is>
          <t>Sodium nitrate</t>
        </is>
      </c>
      <c r="J14" s="11" t="inlineStr">
        <is>
          <t>Y</t>
        </is>
      </c>
      <c r="K14" s="11" t="n"/>
      <c r="L14" s="19" t="n"/>
    </row>
    <row r="15">
      <c r="A15" s="20" t="inlineStr">
        <is>
          <t>A3</t>
        </is>
      </c>
      <c r="B15" s="21" t="n">
        <v>3</v>
      </c>
      <c r="C15" s="21" t="inlineStr">
        <is>
          <t>A</t>
        </is>
      </c>
      <c r="D15" s="11" t="inlineStr">
        <is>
          <t>sample</t>
        </is>
      </c>
      <c r="E15" s="11" t="inlineStr">
        <is>
          <t>NH</t>
        </is>
      </c>
      <c r="F15" s="11" t="n">
        <v>1</v>
      </c>
      <c r="G15" s="11" t="inlineStr">
        <is>
          <t>Y</t>
        </is>
      </c>
      <c r="H15" s="18" t="inlineStr">
        <is>
          <t>Dextrose</t>
        </is>
      </c>
      <c r="I15" s="18" t="inlineStr">
        <is>
          <t>Sodium nitrate</t>
        </is>
      </c>
      <c r="J15" s="11" t="inlineStr">
        <is>
          <t>Y</t>
        </is>
      </c>
      <c r="K15" s="11" t="n"/>
      <c r="L15" s="24" t="n"/>
    </row>
    <row r="16">
      <c r="A16" s="16" t="inlineStr">
        <is>
          <t>B3</t>
        </is>
      </c>
      <c r="B16" s="17" t="n">
        <v>3</v>
      </c>
      <c r="C16" s="17" t="inlineStr">
        <is>
          <t>B</t>
        </is>
      </c>
      <c r="D16" s="11" t="inlineStr">
        <is>
          <t>sample</t>
        </is>
      </c>
      <c r="E16" s="11" t="n">
        <v>6205</v>
      </c>
      <c r="F16" s="11" t="n">
        <v>1</v>
      </c>
      <c r="G16" s="11" t="inlineStr">
        <is>
          <t>Y</t>
        </is>
      </c>
      <c r="H16" s="18" t="inlineStr">
        <is>
          <t>Dextrose</t>
        </is>
      </c>
      <c r="I16" s="18" t="inlineStr">
        <is>
          <t>Sodium nitrate</t>
        </is>
      </c>
      <c r="J16" s="11" t="inlineStr">
        <is>
          <t>Y</t>
        </is>
      </c>
      <c r="K16" s="11" t="n"/>
      <c r="L16" s="19" t="n"/>
    </row>
    <row r="17">
      <c r="A17" s="16" t="inlineStr">
        <is>
          <t>C3</t>
        </is>
      </c>
      <c r="B17" s="17" t="n">
        <v>3</v>
      </c>
      <c r="C17" s="17" t="inlineStr">
        <is>
          <t>C</t>
        </is>
      </c>
      <c r="D17" s="11" t="inlineStr">
        <is>
          <t>sample</t>
        </is>
      </c>
      <c r="E17" s="11" t="inlineStr">
        <is>
          <t>UM1</t>
        </is>
      </c>
      <c r="F17" s="11" t="n">
        <v>1</v>
      </c>
      <c r="G17" s="11" t="inlineStr">
        <is>
          <t>Y</t>
        </is>
      </c>
      <c r="H17" s="18" t="inlineStr">
        <is>
          <t>Dextrose</t>
        </is>
      </c>
      <c r="I17" s="18" t="inlineStr">
        <is>
          <t>Sodium nitrate</t>
        </is>
      </c>
      <c r="J17" s="11" t="inlineStr">
        <is>
          <t>Y</t>
        </is>
      </c>
      <c r="K17" s="11" t="n"/>
      <c r="L17" s="19" t="n"/>
    </row>
    <row r="18">
      <c r="A18" s="16" t="inlineStr">
        <is>
          <t>D3</t>
        </is>
      </c>
      <c r="B18" s="17" t="n">
        <v>3</v>
      </c>
      <c r="C18" s="17" t="inlineStr">
        <is>
          <t>D</t>
        </is>
      </c>
      <c r="D18" s="11" t="inlineStr">
        <is>
          <t>minus_variable_control</t>
        </is>
      </c>
      <c r="E18" s="11" t="n">
        <v>6205</v>
      </c>
      <c r="F18" s="11" t="n"/>
      <c r="G18" s="11" t="inlineStr">
        <is>
          <t>Y</t>
        </is>
      </c>
      <c r="H18" s="18" t="inlineStr">
        <is>
          <t>Dextrose</t>
        </is>
      </c>
      <c r="I18" s="18" t="inlineStr">
        <is>
          <t>Sodium nitrate</t>
        </is>
      </c>
      <c r="J18" s="11" t="inlineStr">
        <is>
          <t>Y</t>
        </is>
      </c>
      <c r="K18" s="11" t="n"/>
      <c r="L18" s="19" t="n"/>
    </row>
    <row r="19">
      <c r="A19" s="16" t="inlineStr">
        <is>
          <t>E3</t>
        </is>
      </c>
      <c r="B19" s="17" t="n">
        <v>3</v>
      </c>
      <c r="C19" s="17" t="inlineStr">
        <is>
          <t>E</t>
        </is>
      </c>
      <c r="D19" s="11" t="inlineStr">
        <is>
          <t>sample</t>
        </is>
      </c>
      <c r="E19" s="11" t="inlineStr">
        <is>
          <t>B2002</t>
        </is>
      </c>
      <c r="F19" s="11" t="n">
        <v>1</v>
      </c>
      <c r="G19" s="11" t="inlineStr">
        <is>
          <t>Y</t>
        </is>
      </c>
      <c r="H19" s="18" t="inlineStr">
        <is>
          <t>Dextrose</t>
        </is>
      </c>
      <c r="I19" s="18" t="inlineStr">
        <is>
          <t>Sodium nitrate</t>
        </is>
      </c>
      <c r="J19" s="11" t="inlineStr">
        <is>
          <t>Y</t>
        </is>
      </c>
      <c r="K19" s="11" t="n"/>
      <c r="L19" s="19" t="n"/>
    </row>
    <row r="21">
      <c r="A21" s="3" t="inlineStr">
        <is>
          <t>Sanity check</t>
        </is>
      </c>
    </row>
    <row r="22">
      <c r="A22" s="25" t="inlineStr">
        <is>
          <t>Rows with a Role filled in (want 15)</t>
        </is>
      </c>
      <c r="D22" s="26">
        <f>COUNTA(D5:D19)</f>
        <v/>
      </c>
    </row>
    <row r="23">
      <c r="A23" s="25" t="inlineStr">
        <is>
          <t>Plates marked 'sample' (want 12)</t>
        </is>
      </c>
      <c r="D23" s="26">
        <f>COUNTIF(D5:D19,"sample")</f>
        <v/>
      </c>
    </row>
    <row r="24">
      <c r="A24" s="25" t="inlineStr">
        <is>
          <t>Plates marked 'water' (want 1)</t>
        </is>
      </c>
      <c r="D24" s="26">
        <f>COUNTIF(D5:D19,"water")</f>
        <v/>
      </c>
    </row>
    <row r="25">
      <c r="A25" s="25" t="inlineStr">
        <is>
          <t>Plates marked 'contamination_control' (want 1)</t>
        </is>
      </c>
      <c r="D25" s="26">
        <f>COUNTIF(D5:D14,"contamination_control")</f>
        <v/>
      </c>
    </row>
    <row r="26">
      <c r="A26" s="25" t="inlineStr">
        <is>
          <t>Plates marked 'minus_variable_control' (want 1)</t>
        </is>
      </c>
      <c r="D26" s="26">
        <f>COUNTIF(D5:D19,"minus_variable_control")</f>
        <v/>
      </c>
    </row>
    <row r="27">
      <c r="A27" s="25" t="inlineStr">
        <is>
          <t>Sample plates with a strain assigned (want 12)</t>
        </is>
      </c>
      <c r="D27" s="26">
        <f t="array" ref="D27">SUMPRODUCT((D5:D19="sample")*(E5:E19&lt;&gt;""))</f>
        <v/>
      </c>
    </row>
    <row r="28">
      <c r="A28" s="25" t="inlineStr">
        <is>
          <t>Sample plates with a replicate number (want 12)</t>
        </is>
      </c>
      <c r="D28" s="26">
        <f t="array" ref="D28">SUMPRODUCT((D5:D19="sample")*(F5:F19&lt;&gt;""))</f>
        <v/>
      </c>
    </row>
    <row r="29">
      <c r="A29" s="25" t="inlineStr">
        <is>
          <t>Duplicate strain+replicate pairs (want 0)</t>
        </is>
      </c>
      <c r="D29" s="26">
        <f t="array" ref="D29"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D22" sqref="D22:D29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7" t="inlineStr">
        <is>
          <t>Plate map — Dextrose Urea</t>
        </is>
      </c>
    </row>
    <row r="2">
      <c r="A2" s="8" t="inlineStr">
        <is>
          <t>Yellow cells = fill in. Grey cells = fixed, do not edit. Row 4 is a worked EXAMPLE — delete it or leave it, the loader ignores row 4.</t>
        </is>
      </c>
    </row>
    <row r="3" ht="28" customHeight="1">
      <c r="A3" s="9" t="inlineStr">
        <is>
          <t>Plate</t>
        </is>
      </c>
      <c r="B3" s="9" t="inlineStr">
        <is>
          <t>Grid_Row</t>
        </is>
      </c>
      <c r="C3" s="9" t="inlineStr">
        <is>
          <t>Grid_Col</t>
        </is>
      </c>
      <c r="D3" s="9" t="inlineStr">
        <is>
          <t>Role</t>
        </is>
      </c>
      <c r="E3" s="9" t="inlineStr">
        <is>
          <t>Strain</t>
        </is>
      </c>
      <c r="F3" s="9" t="inlineStr">
        <is>
          <t>Replicate</t>
        </is>
      </c>
      <c r="G3" s="9" t="inlineStr">
        <is>
          <t>Spores</t>
        </is>
      </c>
      <c r="H3" s="9" t="inlineStr">
        <is>
          <t>Carbon</t>
        </is>
      </c>
      <c r="I3" s="9" t="inlineStr">
        <is>
          <t>Nitrogen</t>
        </is>
      </c>
      <c r="J3" s="9" t="inlineStr">
        <is>
          <t>Include</t>
        </is>
      </c>
      <c r="K3" s="9" t="inlineStr">
        <is>
          <t>Baseline_Frame</t>
        </is>
      </c>
      <c r="L3" s="9" t="inlineStr">
        <is>
          <t>Notes</t>
        </is>
      </c>
    </row>
    <row r="4" ht="16" customHeight="1" thickBot="1">
      <c r="A4" s="15" t="inlineStr">
        <is>
          <t>EXAMPLE</t>
        </is>
      </c>
      <c r="B4" s="15" t="n">
        <v>1</v>
      </c>
      <c r="C4" s="15" t="inlineStr">
        <is>
          <t>A</t>
        </is>
      </c>
      <c r="D4" s="15" t="inlineStr">
        <is>
          <t>sample</t>
        </is>
      </c>
      <c r="E4" s="15" t="inlineStr">
        <is>
          <t>STRAIN_1</t>
        </is>
      </c>
      <c r="F4" s="15" t="n">
        <v>1</v>
      </c>
      <c r="G4" s="15" t="inlineStr">
        <is>
          <t>Y</t>
        </is>
      </c>
      <c r="H4" s="15" t="inlineStr">
        <is>
          <t>Dextrose</t>
        </is>
      </c>
      <c r="I4" s="15" t="inlineStr">
        <is>
          <t>Urea</t>
        </is>
      </c>
      <c r="J4" s="15" t="inlineStr">
        <is>
          <t>Y</t>
        </is>
      </c>
      <c r="K4" s="15" t="inlineStr">
        <is>
          <t>auto</t>
        </is>
      </c>
      <c r="L4" s="15" t="inlineStr">
        <is>
          <t>example only — loader skips this row</t>
        </is>
      </c>
    </row>
    <row r="5">
      <c r="A5" s="16" t="inlineStr">
        <is>
          <t>A1</t>
        </is>
      </c>
      <c r="B5" s="17" t="n">
        <v>1</v>
      </c>
      <c r="C5" s="17" t="inlineStr">
        <is>
          <t>A</t>
        </is>
      </c>
      <c r="D5" s="22" t="inlineStr">
        <is>
          <t>sample</t>
        </is>
      </c>
      <c r="E5" s="22" t="inlineStr">
        <is>
          <t>UM1</t>
        </is>
      </c>
      <c r="F5" s="22" t="n">
        <v>3</v>
      </c>
      <c r="G5" s="22" t="inlineStr">
        <is>
          <t>Y</t>
        </is>
      </c>
      <c r="H5" s="23" t="inlineStr">
        <is>
          <t>Dextrose</t>
        </is>
      </c>
      <c r="I5" s="23" t="inlineStr">
        <is>
          <t>Urea</t>
        </is>
      </c>
      <c r="J5" s="22" t="inlineStr">
        <is>
          <t>Y</t>
        </is>
      </c>
      <c r="K5" s="22" t="n"/>
      <c r="L5" s="19" t="n"/>
    </row>
    <row r="6">
      <c r="A6" s="16" t="inlineStr">
        <is>
          <t>B1</t>
        </is>
      </c>
      <c r="B6" s="17" t="n">
        <v>1</v>
      </c>
      <c r="C6" s="17" t="inlineStr">
        <is>
          <t>B</t>
        </is>
      </c>
      <c r="D6" s="11" t="inlineStr">
        <is>
          <t>sample</t>
        </is>
      </c>
      <c r="E6" s="11" t="inlineStr">
        <is>
          <t>B2002</t>
        </is>
      </c>
      <c r="F6" s="11" t="n">
        <v>3</v>
      </c>
      <c r="G6" s="11" t="inlineStr">
        <is>
          <t>Y</t>
        </is>
      </c>
      <c r="H6" s="18" t="inlineStr">
        <is>
          <t>Dextrose</t>
        </is>
      </c>
      <c r="I6" s="18" t="inlineStr">
        <is>
          <t>Urea</t>
        </is>
      </c>
      <c r="J6" s="11" t="inlineStr">
        <is>
          <t>Y</t>
        </is>
      </c>
      <c r="K6" s="11" t="n"/>
      <c r="L6" s="19" t="n"/>
    </row>
    <row r="7">
      <c r="A7" s="16" t="inlineStr">
        <is>
          <t>C1</t>
        </is>
      </c>
      <c r="B7" s="17" t="n">
        <v>1</v>
      </c>
      <c r="C7" s="17" t="inlineStr">
        <is>
          <t>C</t>
        </is>
      </c>
      <c r="D7" s="11" t="inlineStr">
        <is>
          <t>contamination_control</t>
        </is>
      </c>
      <c r="E7" s="11" t="n"/>
      <c r="F7" s="11" t="n"/>
      <c r="G7" s="11" t="inlineStr">
        <is>
          <t>N</t>
        </is>
      </c>
      <c r="H7" s="18" t="inlineStr">
        <is>
          <t>Dextrose</t>
        </is>
      </c>
      <c r="I7" s="18" t="inlineStr">
        <is>
          <t>Urea</t>
        </is>
      </c>
      <c r="J7" s="11" t="inlineStr">
        <is>
          <t>Y</t>
        </is>
      </c>
      <c r="K7" s="11" t="n"/>
      <c r="L7" s="19" t="n"/>
    </row>
    <row r="8">
      <c r="A8" s="16" t="inlineStr">
        <is>
          <t>D1</t>
        </is>
      </c>
      <c r="B8" s="17" t="n">
        <v>1</v>
      </c>
      <c r="C8" s="17" t="inlineStr">
        <is>
          <t>D</t>
        </is>
      </c>
      <c r="D8" s="11" t="inlineStr">
        <is>
          <t>sample</t>
        </is>
      </c>
      <c r="E8" s="11" t="n">
        <v>6205</v>
      </c>
      <c r="F8" s="11" t="n">
        <v>3</v>
      </c>
      <c r="G8" s="11" t="inlineStr">
        <is>
          <t>Y</t>
        </is>
      </c>
      <c r="H8" s="18" t="inlineStr">
        <is>
          <t>Dextrose</t>
        </is>
      </c>
      <c r="I8" s="18" t="inlineStr">
        <is>
          <t>Urea</t>
        </is>
      </c>
      <c r="J8" s="11" t="inlineStr">
        <is>
          <t>Y</t>
        </is>
      </c>
      <c r="K8" s="11" t="n"/>
      <c r="L8" s="19" t="n"/>
    </row>
    <row r="9" ht="16" customHeight="1" thickBot="1">
      <c r="A9" s="16" t="inlineStr">
        <is>
          <t>E1</t>
        </is>
      </c>
      <c r="B9" s="17" t="n">
        <v>1</v>
      </c>
      <c r="C9" s="17" t="inlineStr">
        <is>
          <t>E</t>
        </is>
      </c>
      <c r="D9" s="11" t="inlineStr">
        <is>
          <t>sample</t>
        </is>
      </c>
      <c r="E9" s="11" t="inlineStr">
        <is>
          <t>NH</t>
        </is>
      </c>
      <c r="F9" s="11" t="n">
        <v>3</v>
      </c>
      <c r="G9" s="11" t="inlineStr">
        <is>
          <t>Y</t>
        </is>
      </c>
      <c r="H9" s="18" t="inlineStr">
        <is>
          <t>Dextrose</t>
        </is>
      </c>
      <c r="I9" s="18" t="inlineStr">
        <is>
          <t>Urea</t>
        </is>
      </c>
      <c r="J9" s="11" t="inlineStr">
        <is>
          <t>Y</t>
        </is>
      </c>
      <c r="K9" s="11" t="n"/>
      <c r="L9" s="19" t="n"/>
    </row>
    <row r="10">
      <c r="A10" s="20" t="inlineStr">
        <is>
          <t>A2</t>
        </is>
      </c>
      <c r="B10" s="21" t="n">
        <v>2</v>
      </c>
      <c r="C10" s="21" t="inlineStr">
        <is>
          <t>A</t>
        </is>
      </c>
      <c r="D10" s="22" t="inlineStr">
        <is>
          <t>sample</t>
        </is>
      </c>
      <c r="E10" s="22" t="inlineStr">
        <is>
          <t>UM1</t>
        </is>
      </c>
      <c r="F10" s="22" t="n">
        <v>2</v>
      </c>
      <c r="G10" s="22" t="inlineStr">
        <is>
          <t>Y</t>
        </is>
      </c>
      <c r="H10" s="23" t="inlineStr">
        <is>
          <t>Dextrose</t>
        </is>
      </c>
      <c r="I10" s="23" t="inlineStr">
        <is>
          <t>Urea</t>
        </is>
      </c>
      <c r="J10" s="22" t="inlineStr">
        <is>
          <t>Y</t>
        </is>
      </c>
      <c r="K10" s="22" t="n"/>
      <c r="L10" s="24" t="n"/>
    </row>
    <row r="11">
      <c r="A11" s="16" t="inlineStr">
        <is>
          <t>B2</t>
        </is>
      </c>
      <c r="B11" s="17" t="n">
        <v>2</v>
      </c>
      <c r="C11" s="17" t="inlineStr">
        <is>
          <t>B</t>
        </is>
      </c>
      <c r="D11" s="11" t="inlineStr">
        <is>
          <t>sample</t>
        </is>
      </c>
      <c r="E11" s="11" t="inlineStr">
        <is>
          <t>B2002</t>
        </is>
      </c>
      <c r="F11" s="11" t="n">
        <v>2</v>
      </c>
      <c r="G11" s="11" t="inlineStr">
        <is>
          <t>Y</t>
        </is>
      </c>
      <c r="H11" s="18" t="inlineStr">
        <is>
          <t>Dextrose</t>
        </is>
      </c>
      <c r="I11" s="18" t="inlineStr">
        <is>
          <t>Urea</t>
        </is>
      </c>
      <c r="J11" s="11" t="inlineStr">
        <is>
          <t>Y</t>
        </is>
      </c>
      <c r="K11" s="11" t="n"/>
      <c r="L11" s="19" t="n"/>
    </row>
    <row r="12">
      <c r="A12" s="16" t="inlineStr">
        <is>
          <t>C2</t>
        </is>
      </c>
      <c r="B12" s="17" t="n">
        <v>2</v>
      </c>
      <c r="C12" s="17" t="inlineStr">
        <is>
          <t>C</t>
        </is>
      </c>
      <c r="D12" s="11" t="inlineStr">
        <is>
          <t>water</t>
        </is>
      </c>
      <c r="E12" s="11" t="n"/>
      <c r="F12" s="11" t="n"/>
      <c r="G12" s="11" t="inlineStr">
        <is>
          <t>N</t>
        </is>
      </c>
      <c r="H12" s="18" t="inlineStr">
        <is>
          <t>Dextrose</t>
        </is>
      </c>
      <c r="I12" s="18" t="inlineStr">
        <is>
          <t>Urea</t>
        </is>
      </c>
      <c r="J12" s="11" t="inlineStr">
        <is>
          <t>N</t>
        </is>
      </c>
      <c r="K12" s="11" t="n"/>
      <c r="L12" s="19" t="n"/>
    </row>
    <row r="13">
      <c r="A13" s="16" t="inlineStr">
        <is>
          <t>D2</t>
        </is>
      </c>
      <c r="B13" s="17" t="n">
        <v>2</v>
      </c>
      <c r="C13" s="17" t="inlineStr">
        <is>
          <t>D</t>
        </is>
      </c>
      <c r="D13" s="11" t="inlineStr">
        <is>
          <t>sample</t>
        </is>
      </c>
      <c r="E13" s="11" t="n">
        <v>6205</v>
      </c>
      <c r="F13" s="11" t="n">
        <v>2</v>
      </c>
      <c r="G13" s="11" t="inlineStr">
        <is>
          <t>Y</t>
        </is>
      </c>
      <c r="H13" s="18" t="inlineStr">
        <is>
          <t>Dextrose</t>
        </is>
      </c>
      <c r="I13" s="18" t="inlineStr">
        <is>
          <t>Urea</t>
        </is>
      </c>
      <c r="J13" s="11" t="inlineStr">
        <is>
          <t>Y</t>
        </is>
      </c>
      <c r="K13" s="11" t="n"/>
      <c r="L13" s="19" t="n"/>
    </row>
    <row r="14" ht="16" customHeight="1" thickBot="1">
      <c r="A14" s="16" t="inlineStr">
        <is>
          <t>E2</t>
        </is>
      </c>
      <c r="B14" s="17" t="n">
        <v>2</v>
      </c>
      <c r="C14" s="17" t="inlineStr">
        <is>
          <t>E</t>
        </is>
      </c>
      <c r="D14" s="11" t="inlineStr">
        <is>
          <t>sample</t>
        </is>
      </c>
      <c r="E14" s="11" t="inlineStr">
        <is>
          <t>NH</t>
        </is>
      </c>
      <c r="F14" s="11" t="n">
        <v>2</v>
      </c>
      <c r="G14" s="11" t="inlineStr">
        <is>
          <t>Y</t>
        </is>
      </c>
      <c r="H14" s="18" t="inlineStr">
        <is>
          <t>Dextrose</t>
        </is>
      </c>
      <c r="I14" s="18" t="inlineStr">
        <is>
          <t>Urea</t>
        </is>
      </c>
      <c r="J14" s="11" t="inlineStr">
        <is>
          <t>Y</t>
        </is>
      </c>
      <c r="K14" s="11" t="n"/>
      <c r="L14" s="19" t="n"/>
    </row>
    <row r="15">
      <c r="A15" s="20" t="inlineStr">
        <is>
          <t>A3</t>
        </is>
      </c>
      <c r="B15" s="21" t="n">
        <v>3</v>
      </c>
      <c r="C15" s="21" t="inlineStr">
        <is>
          <t>A</t>
        </is>
      </c>
      <c r="D15" s="11" t="inlineStr">
        <is>
          <t>sample</t>
        </is>
      </c>
      <c r="E15" s="11" t="inlineStr">
        <is>
          <t>UM1</t>
        </is>
      </c>
      <c r="F15" s="11" t="n">
        <v>1</v>
      </c>
      <c r="G15" s="11" t="inlineStr">
        <is>
          <t>Y</t>
        </is>
      </c>
      <c r="H15" s="18" t="inlineStr">
        <is>
          <t>Dextrose</t>
        </is>
      </c>
      <c r="I15" s="18" t="inlineStr">
        <is>
          <t>Urea</t>
        </is>
      </c>
      <c r="J15" s="11" t="inlineStr">
        <is>
          <t>Y</t>
        </is>
      </c>
      <c r="K15" s="11" t="n"/>
      <c r="L15" s="24" t="n"/>
    </row>
    <row r="16">
      <c r="A16" s="16" t="inlineStr">
        <is>
          <t>B3</t>
        </is>
      </c>
      <c r="B16" s="17" t="n">
        <v>3</v>
      </c>
      <c r="C16" s="17" t="inlineStr">
        <is>
          <t>B</t>
        </is>
      </c>
      <c r="D16" s="11" t="inlineStr">
        <is>
          <t>sample</t>
        </is>
      </c>
      <c r="E16" s="11" t="inlineStr">
        <is>
          <t>B2002</t>
        </is>
      </c>
      <c r="F16" s="11" t="n">
        <v>1</v>
      </c>
      <c r="G16" s="11" t="inlineStr">
        <is>
          <t>Y</t>
        </is>
      </c>
      <c r="H16" s="18" t="inlineStr">
        <is>
          <t>Dextrose</t>
        </is>
      </c>
      <c r="I16" s="18" t="inlineStr">
        <is>
          <t>Urea</t>
        </is>
      </c>
      <c r="J16" s="11" t="inlineStr">
        <is>
          <t>Y</t>
        </is>
      </c>
      <c r="K16" s="11" t="n"/>
      <c r="L16" s="19" t="n"/>
    </row>
    <row r="17">
      <c r="A17" s="16" t="inlineStr">
        <is>
          <t>C3</t>
        </is>
      </c>
      <c r="B17" s="17" t="n">
        <v>3</v>
      </c>
      <c r="C17" s="17" t="inlineStr">
        <is>
          <t>C</t>
        </is>
      </c>
      <c r="D17" s="11" t="inlineStr">
        <is>
          <t>minus_variable_control</t>
        </is>
      </c>
      <c r="E17" s="11" t="inlineStr">
        <is>
          <t>NH</t>
        </is>
      </c>
      <c r="F17" s="11" t="n"/>
      <c r="G17" s="11" t="inlineStr">
        <is>
          <t>Y</t>
        </is>
      </c>
      <c r="H17" s="18" t="inlineStr">
        <is>
          <t>Dextrose</t>
        </is>
      </c>
      <c r="I17" s="18" t="inlineStr">
        <is>
          <t>Urea</t>
        </is>
      </c>
      <c r="J17" s="11" t="inlineStr">
        <is>
          <t>Y</t>
        </is>
      </c>
      <c r="K17" s="11" t="n"/>
      <c r="L17" s="19" t="n"/>
    </row>
    <row r="18">
      <c r="A18" s="16" t="inlineStr">
        <is>
          <t>D3</t>
        </is>
      </c>
      <c r="B18" s="17" t="n">
        <v>3</v>
      </c>
      <c r="C18" s="17" t="inlineStr">
        <is>
          <t>D</t>
        </is>
      </c>
      <c r="D18" s="11" t="inlineStr">
        <is>
          <t>sample</t>
        </is>
      </c>
      <c r="E18" s="11" t="n">
        <v>6205</v>
      </c>
      <c r="F18" s="11" t="n">
        <v>1</v>
      </c>
      <c r="G18" s="11" t="inlineStr">
        <is>
          <t>Y</t>
        </is>
      </c>
      <c r="H18" s="18" t="inlineStr">
        <is>
          <t>Dextrose</t>
        </is>
      </c>
      <c r="I18" s="18" t="inlineStr">
        <is>
          <t>Urea</t>
        </is>
      </c>
      <c r="J18" s="11" t="inlineStr">
        <is>
          <t>Y</t>
        </is>
      </c>
      <c r="K18" s="11" t="n"/>
      <c r="L18" s="19" t="n"/>
    </row>
    <row r="19">
      <c r="A19" s="16" t="inlineStr">
        <is>
          <t>E3</t>
        </is>
      </c>
      <c r="B19" s="17" t="n">
        <v>3</v>
      </c>
      <c r="C19" s="17" t="inlineStr">
        <is>
          <t>E</t>
        </is>
      </c>
      <c r="D19" s="11" t="inlineStr">
        <is>
          <t>sample</t>
        </is>
      </c>
      <c r="E19" s="11" t="inlineStr">
        <is>
          <t>NH</t>
        </is>
      </c>
      <c r="F19" s="11" t="n">
        <v>1</v>
      </c>
      <c r="G19" s="11" t="inlineStr">
        <is>
          <t>Y</t>
        </is>
      </c>
      <c r="H19" s="18" t="inlineStr">
        <is>
          <t>Dextrose</t>
        </is>
      </c>
      <c r="I19" s="18" t="inlineStr">
        <is>
          <t>Urea</t>
        </is>
      </c>
      <c r="J19" s="11" t="inlineStr">
        <is>
          <t>Y</t>
        </is>
      </c>
      <c r="K19" s="11" t="n"/>
      <c r="L19" s="19" t="n"/>
    </row>
    <row r="21">
      <c r="A21" s="3" t="inlineStr">
        <is>
          <t>Sanity check</t>
        </is>
      </c>
    </row>
    <row r="22">
      <c r="A22" s="25" t="inlineStr">
        <is>
          <t>Rows with a Role filled in (want 15)</t>
        </is>
      </c>
      <c r="D22" s="26">
        <f>COUNTA(D5:D19)</f>
        <v/>
      </c>
    </row>
    <row r="23">
      <c r="A23" s="25" t="inlineStr">
        <is>
          <t>Plates marked 'sample' (want 12)</t>
        </is>
      </c>
      <c r="D23" s="26">
        <f>COUNTIF(D5:D19,"sample")</f>
        <v/>
      </c>
    </row>
    <row r="24">
      <c r="A24" s="25" t="inlineStr">
        <is>
          <t>Plates marked 'water' (want 1)</t>
        </is>
      </c>
      <c r="D24" s="26">
        <f>COUNTIF(D5:D19,"water")</f>
        <v/>
      </c>
    </row>
    <row r="25">
      <c r="A25" s="25" t="inlineStr">
        <is>
          <t>Plates marked 'contamination_control' (want 1)</t>
        </is>
      </c>
      <c r="D25" s="26">
        <f>COUNTIF(D5:D14,"contamination_control")</f>
        <v/>
      </c>
    </row>
    <row r="26">
      <c r="A26" s="25" t="inlineStr">
        <is>
          <t>Plates marked 'minus_variable_control' (want 1)</t>
        </is>
      </c>
      <c r="D26" s="26">
        <f>COUNTIF(D5:D19,"minus_variable_control")</f>
        <v/>
      </c>
    </row>
    <row r="27">
      <c r="A27" s="25" t="inlineStr">
        <is>
          <t>Sample plates with a strain assigned (want 12)</t>
        </is>
      </c>
      <c r="D27" s="26">
        <f t="array" ref="D27">SUMPRODUCT((D5:D19="sample")*(E5:E19&lt;&gt;""))</f>
        <v/>
      </c>
    </row>
    <row r="28">
      <c r="A28" s="25" t="inlineStr">
        <is>
          <t>Sample plates with a replicate number (want 12)</t>
        </is>
      </c>
      <c r="D28" s="26">
        <f t="array" ref="D28">SUMPRODUCT((D5:D19="sample")*(F5:F19&lt;&gt;""))</f>
        <v/>
      </c>
    </row>
    <row r="29">
      <c r="A29" s="25" t="inlineStr">
        <is>
          <t>Duplicate strain+replicate pairs (want 0)</t>
        </is>
      </c>
      <c r="D29" s="26">
        <f t="array" ref="D29"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F22" sqref="F22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7" t="inlineStr">
        <is>
          <t>Plate map — Fructose Ammonium Sulfate</t>
        </is>
      </c>
    </row>
    <row r="2">
      <c r="A2" s="8" t="inlineStr">
        <is>
          <t>Yellow cells = fill in. Grey cells = fixed, do not edit. Row 4 is a worked EXAMPLE — delete it or leave it, the loader ignores row 4.</t>
        </is>
      </c>
    </row>
    <row r="3" ht="28" customHeight="1">
      <c r="A3" s="9" t="inlineStr">
        <is>
          <t>Plate</t>
        </is>
      </c>
      <c r="B3" s="9" t="inlineStr">
        <is>
          <t>Grid_Row</t>
        </is>
      </c>
      <c r="C3" s="9" t="inlineStr">
        <is>
          <t>Grid_Col</t>
        </is>
      </c>
      <c r="D3" s="9" t="inlineStr">
        <is>
          <t>Role</t>
        </is>
      </c>
      <c r="E3" s="9" t="inlineStr">
        <is>
          <t>Strain</t>
        </is>
      </c>
      <c r="F3" s="9" t="inlineStr">
        <is>
          <t>Replicate</t>
        </is>
      </c>
      <c r="G3" s="9" t="inlineStr">
        <is>
          <t>Spores</t>
        </is>
      </c>
      <c r="H3" s="9" t="inlineStr">
        <is>
          <t>Carbon</t>
        </is>
      </c>
      <c r="I3" s="9" t="inlineStr">
        <is>
          <t>Nitrogen</t>
        </is>
      </c>
      <c r="J3" s="9" t="inlineStr">
        <is>
          <t>Include</t>
        </is>
      </c>
      <c r="K3" s="9" t="inlineStr">
        <is>
          <t>Baseline_Frame</t>
        </is>
      </c>
      <c r="L3" s="9" t="inlineStr">
        <is>
          <t>Notes</t>
        </is>
      </c>
    </row>
    <row r="4" ht="16" customHeight="1" thickBot="1">
      <c r="A4" s="15" t="inlineStr">
        <is>
          <t>EXAMPLE</t>
        </is>
      </c>
      <c r="B4" s="15" t="n">
        <v>1</v>
      </c>
      <c r="C4" s="15" t="inlineStr">
        <is>
          <t>A</t>
        </is>
      </c>
      <c r="D4" s="15" t="inlineStr">
        <is>
          <t>sample</t>
        </is>
      </c>
      <c r="E4" s="15" t="inlineStr">
        <is>
          <t>STRAIN_1</t>
        </is>
      </c>
      <c r="F4" s="15" t="n">
        <v>1</v>
      </c>
      <c r="G4" s="15" t="inlineStr">
        <is>
          <t>Y</t>
        </is>
      </c>
      <c r="H4" s="15" t="inlineStr">
        <is>
          <t>Fructose</t>
        </is>
      </c>
      <c r="I4" s="15" t="inlineStr">
        <is>
          <t>Ammonium sulfate</t>
        </is>
      </c>
      <c r="J4" s="15" t="inlineStr">
        <is>
          <t>Y</t>
        </is>
      </c>
      <c r="K4" s="15" t="inlineStr">
        <is>
          <t>auto</t>
        </is>
      </c>
      <c r="L4" s="15" t="inlineStr">
        <is>
          <t>example only — loader skips this row</t>
        </is>
      </c>
    </row>
    <row r="5">
      <c r="A5" s="16" t="inlineStr">
        <is>
          <t>A1</t>
        </is>
      </c>
      <c r="B5" s="17" t="n">
        <v>1</v>
      </c>
      <c r="C5" s="17" t="inlineStr">
        <is>
          <t>A</t>
        </is>
      </c>
      <c r="D5" s="22" t="inlineStr">
        <is>
          <t>sample</t>
        </is>
      </c>
      <c r="E5" s="22" t="inlineStr">
        <is>
          <t>UM1</t>
        </is>
      </c>
      <c r="F5" s="22" t="n">
        <v>3</v>
      </c>
      <c r="G5" s="22" t="inlineStr">
        <is>
          <t>Y</t>
        </is>
      </c>
      <c r="H5" s="23" t="inlineStr">
        <is>
          <t>Fructose</t>
        </is>
      </c>
      <c r="I5" s="23" t="inlineStr">
        <is>
          <t>Ammonium sulfate</t>
        </is>
      </c>
      <c r="J5" s="22" t="inlineStr">
        <is>
          <t>Y</t>
        </is>
      </c>
      <c r="K5" s="22" t="n"/>
      <c r="L5" s="19" t="n"/>
    </row>
    <row r="6">
      <c r="A6" s="16" t="inlineStr">
        <is>
          <t>B1</t>
        </is>
      </c>
      <c r="B6" s="17" t="n">
        <v>1</v>
      </c>
      <c r="C6" s="17" t="inlineStr">
        <is>
          <t>B</t>
        </is>
      </c>
      <c r="D6" s="11" t="inlineStr">
        <is>
          <t>minus_variable_control</t>
        </is>
      </c>
      <c r="E6" s="11" t="inlineStr">
        <is>
          <t>B2002</t>
        </is>
      </c>
      <c r="F6" s="11" t="n"/>
      <c r="G6" s="11" t="inlineStr">
        <is>
          <t>Y</t>
        </is>
      </c>
      <c r="H6" s="18" t="inlineStr">
        <is>
          <t>Fructose</t>
        </is>
      </c>
      <c r="I6" s="18" t="inlineStr">
        <is>
          <t>Ammonium sulfate</t>
        </is>
      </c>
      <c r="J6" s="11" t="inlineStr">
        <is>
          <t>Y</t>
        </is>
      </c>
      <c r="K6" s="11" t="n"/>
      <c r="L6" s="19" t="n"/>
    </row>
    <row r="7">
      <c r="A7" s="16" t="inlineStr">
        <is>
          <t>C1</t>
        </is>
      </c>
      <c r="B7" s="17" t="n">
        <v>1</v>
      </c>
      <c r="C7" s="17" t="inlineStr">
        <is>
          <t>C</t>
        </is>
      </c>
      <c r="D7" s="11" t="inlineStr">
        <is>
          <t>sample</t>
        </is>
      </c>
      <c r="E7" s="11" t="n">
        <v>6205</v>
      </c>
      <c r="F7" s="11" t="n">
        <v>3</v>
      </c>
      <c r="G7" s="11" t="inlineStr">
        <is>
          <t>Y</t>
        </is>
      </c>
      <c r="H7" s="18" t="inlineStr">
        <is>
          <t>Fructose</t>
        </is>
      </c>
      <c r="I7" s="18" t="inlineStr">
        <is>
          <t>Ammonium sulfate</t>
        </is>
      </c>
      <c r="J7" s="11" t="inlineStr">
        <is>
          <t>Y</t>
        </is>
      </c>
      <c r="K7" s="11" t="n"/>
      <c r="L7" s="19" t="n"/>
    </row>
    <row r="8">
      <c r="A8" s="16" t="inlineStr">
        <is>
          <t>D1</t>
        </is>
      </c>
      <c r="B8" s="17" t="n">
        <v>1</v>
      </c>
      <c r="C8" s="17" t="inlineStr">
        <is>
          <t>D</t>
        </is>
      </c>
      <c r="D8" s="11" t="inlineStr">
        <is>
          <t>sample</t>
        </is>
      </c>
      <c r="E8" s="11" t="inlineStr">
        <is>
          <t>NH</t>
        </is>
      </c>
      <c r="F8" s="11" t="n">
        <v>3</v>
      </c>
      <c r="G8" s="11" t="inlineStr">
        <is>
          <t>Y</t>
        </is>
      </c>
      <c r="H8" s="18" t="inlineStr">
        <is>
          <t>Fructose</t>
        </is>
      </c>
      <c r="I8" s="18" t="inlineStr">
        <is>
          <t>Ammonium sulfate</t>
        </is>
      </c>
      <c r="J8" s="11" t="inlineStr">
        <is>
          <t>Y</t>
        </is>
      </c>
      <c r="K8" s="11" t="n"/>
      <c r="L8" s="19" t="n"/>
    </row>
    <row r="9" ht="16" customHeight="1" thickBot="1">
      <c r="A9" s="16" t="inlineStr">
        <is>
          <t>E1</t>
        </is>
      </c>
      <c r="B9" s="17" t="n">
        <v>1</v>
      </c>
      <c r="C9" s="17" t="inlineStr">
        <is>
          <t>E</t>
        </is>
      </c>
      <c r="D9" s="11" t="inlineStr">
        <is>
          <t>sample</t>
        </is>
      </c>
      <c r="E9" s="11" t="inlineStr">
        <is>
          <t>B2002</t>
        </is>
      </c>
      <c r="F9" s="11" t="n">
        <v>3</v>
      </c>
      <c r="G9" s="11" t="inlineStr">
        <is>
          <t>Y</t>
        </is>
      </c>
      <c r="H9" s="18" t="inlineStr">
        <is>
          <t>Fructose</t>
        </is>
      </c>
      <c r="I9" s="18" t="inlineStr">
        <is>
          <t>Ammonium sulfate</t>
        </is>
      </c>
      <c r="J9" s="11" t="inlineStr">
        <is>
          <t>Y</t>
        </is>
      </c>
      <c r="K9" s="11" t="n"/>
      <c r="L9" s="19" t="n"/>
    </row>
    <row r="10">
      <c r="A10" s="20" t="inlineStr">
        <is>
          <t>A2</t>
        </is>
      </c>
      <c r="B10" s="21" t="n">
        <v>2</v>
      </c>
      <c r="C10" s="21" t="inlineStr">
        <is>
          <t>A</t>
        </is>
      </c>
      <c r="D10" s="22" t="inlineStr">
        <is>
          <t>sample</t>
        </is>
      </c>
      <c r="E10" s="22" t="inlineStr">
        <is>
          <t>NH</t>
        </is>
      </c>
      <c r="F10" s="22" t="n">
        <v>2</v>
      </c>
      <c r="G10" s="22" t="inlineStr">
        <is>
          <t>Y</t>
        </is>
      </c>
      <c r="H10" s="23" t="inlineStr">
        <is>
          <t>Fructose</t>
        </is>
      </c>
      <c r="I10" s="23" t="inlineStr">
        <is>
          <t>Ammonium sulfate</t>
        </is>
      </c>
      <c r="J10" s="22" t="inlineStr">
        <is>
          <t>Y</t>
        </is>
      </c>
      <c r="K10" s="22" t="n"/>
      <c r="L10" s="24" t="n"/>
    </row>
    <row r="11">
      <c r="A11" s="16" t="inlineStr">
        <is>
          <t>B2</t>
        </is>
      </c>
      <c r="B11" s="17" t="n">
        <v>2</v>
      </c>
      <c r="C11" s="17" t="inlineStr">
        <is>
          <t>B</t>
        </is>
      </c>
      <c r="D11" s="11" t="inlineStr">
        <is>
          <t>sample</t>
        </is>
      </c>
      <c r="E11" s="11" t="n">
        <v>6205</v>
      </c>
      <c r="F11" s="11" t="n">
        <v>2</v>
      </c>
      <c r="G11" s="11" t="inlineStr">
        <is>
          <t>Y</t>
        </is>
      </c>
      <c r="H11" s="18" t="inlineStr">
        <is>
          <t>Fructose</t>
        </is>
      </c>
      <c r="I11" s="18" t="inlineStr">
        <is>
          <t>Ammonium sulfate</t>
        </is>
      </c>
      <c r="J11" s="11" t="inlineStr">
        <is>
          <t>Y</t>
        </is>
      </c>
      <c r="K11" s="11" t="n"/>
      <c r="L11" s="19" t="n"/>
    </row>
    <row r="12">
      <c r="A12" s="16" t="inlineStr">
        <is>
          <t>C2</t>
        </is>
      </c>
      <c r="B12" s="17" t="n">
        <v>2</v>
      </c>
      <c r="C12" s="17" t="inlineStr">
        <is>
          <t>C</t>
        </is>
      </c>
      <c r="D12" s="11" t="inlineStr">
        <is>
          <t>water</t>
        </is>
      </c>
      <c r="E12" s="11" t="n"/>
      <c r="F12" s="11" t="n"/>
      <c r="G12" s="11" t="inlineStr">
        <is>
          <t>N</t>
        </is>
      </c>
      <c r="H12" s="18" t="inlineStr">
        <is>
          <t>Fructose</t>
        </is>
      </c>
      <c r="I12" s="18" t="inlineStr">
        <is>
          <t>Ammonium sulfate</t>
        </is>
      </c>
      <c r="J12" s="11" t="inlineStr">
        <is>
          <t>N</t>
        </is>
      </c>
      <c r="K12" s="11" t="n"/>
      <c r="L12" s="19" t="n"/>
    </row>
    <row r="13">
      <c r="A13" s="16" t="inlineStr">
        <is>
          <t>D2</t>
        </is>
      </c>
      <c r="B13" s="17" t="n">
        <v>2</v>
      </c>
      <c r="C13" s="17" t="inlineStr">
        <is>
          <t>D</t>
        </is>
      </c>
      <c r="D13" s="11" t="inlineStr">
        <is>
          <t>sample</t>
        </is>
      </c>
      <c r="E13" s="11" t="inlineStr">
        <is>
          <t>B2002</t>
        </is>
      </c>
      <c r="F13" s="11" t="n">
        <v>2</v>
      </c>
      <c r="G13" s="11" t="inlineStr">
        <is>
          <t>Y</t>
        </is>
      </c>
      <c r="H13" s="18" t="inlineStr">
        <is>
          <t>Fructose</t>
        </is>
      </c>
      <c r="I13" s="18" t="inlineStr">
        <is>
          <t>Ammonium sulfate</t>
        </is>
      </c>
      <c r="J13" s="11" t="inlineStr">
        <is>
          <t>Y</t>
        </is>
      </c>
      <c r="K13" s="11" t="n"/>
      <c r="L13" s="19" t="n"/>
    </row>
    <row r="14" ht="16" customHeight="1" thickBot="1">
      <c r="A14" s="16" t="inlineStr">
        <is>
          <t>E2</t>
        </is>
      </c>
      <c r="B14" s="17" t="n">
        <v>2</v>
      </c>
      <c r="C14" s="17" t="inlineStr">
        <is>
          <t>E</t>
        </is>
      </c>
      <c r="D14" s="11" t="inlineStr">
        <is>
          <t>sample</t>
        </is>
      </c>
      <c r="E14" s="11" t="inlineStr">
        <is>
          <t>UM1</t>
        </is>
      </c>
      <c r="F14" s="11" t="n">
        <v>2</v>
      </c>
      <c r="G14" s="11" t="inlineStr">
        <is>
          <t>Y</t>
        </is>
      </c>
      <c r="H14" s="18" t="inlineStr">
        <is>
          <t>Fructose</t>
        </is>
      </c>
      <c r="I14" s="18" t="inlineStr">
        <is>
          <t>Ammonium sulfate</t>
        </is>
      </c>
      <c r="J14" s="11" t="inlineStr">
        <is>
          <t>Y</t>
        </is>
      </c>
      <c r="K14" s="11" t="n"/>
      <c r="L14" s="19" t="n"/>
    </row>
    <row r="15">
      <c r="A15" s="20" t="inlineStr">
        <is>
          <t>A3</t>
        </is>
      </c>
      <c r="B15" s="21" t="n">
        <v>3</v>
      </c>
      <c r="C15" s="21" t="inlineStr">
        <is>
          <t>A</t>
        </is>
      </c>
      <c r="D15" s="11" t="inlineStr">
        <is>
          <t>sample</t>
        </is>
      </c>
      <c r="E15" s="11" t="n">
        <v>6205</v>
      </c>
      <c r="F15" s="11" t="n">
        <v>1</v>
      </c>
      <c r="G15" s="11" t="inlineStr">
        <is>
          <t>Y</t>
        </is>
      </c>
      <c r="H15" s="18" t="inlineStr">
        <is>
          <t>Fructose</t>
        </is>
      </c>
      <c r="I15" s="18" t="inlineStr">
        <is>
          <t>Ammonium sulfate</t>
        </is>
      </c>
      <c r="J15" s="11" t="inlineStr">
        <is>
          <t>Y</t>
        </is>
      </c>
      <c r="K15" s="11" t="n"/>
      <c r="L15" s="24" t="n"/>
    </row>
    <row r="16">
      <c r="A16" s="16" t="inlineStr">
        <is>
          <t>B3</t>
        </is>
      </c>
      <c r="B16" s="17" t="n">
        <v>3</v>
      </c>
      <c r="C16" s="17" t="inlineStr">
        <is>
          <t>B</t>
        </is>
      </c>
      <c r="D16" s="11" t="inlineStr">
        <is>
          <t>sample</t>
        </is>
      </c>
      <c r="E16" s="11" t="inlineStr">
        <is>
          <t>B2002</t>
        </is>
      </c>
      <c r="F16" s="11" t="n">
        <v>1</v>
      </c>
      <c r="G16" s="11" t="inlineStr">
        <is>
          <t>Y</t>
        </is>
      </c>
      <c r="H16" s="18" t="inlineStr">
        <is>
          <t>Fructose</t>
        </is>
      </c>
      <c r="I16" s="18" t="inlineStr">
        <is>
          <t>Ammonium sulfate</t>
        </is>
      </c>
      <c r="J16" s="11" t="inlineStr">
        <is>
          <t>Y</t>
        </is>
      </c>
      <c r="K16" s="11" t="n"/>
      <c r="L16" s="19" t="n"/>
    </row>
    <row r="17">
      <c r="A17" s="16" t="inlineStr">
        <is>
          <t>C3</t>
        </is>
      </c>
      <c r="B17" s="17" t="n">
        <v>3</v>
      </c>
      <c r="C17" s="17" t="inlineStr">
        <is>
          <t>C</t>
        </is>
      </c>
      <c r="D17" s="11" t="inlineStr">
        <is>
          <t>sample</t>
        </is>
      </c>
      <c r="E17" s="11" t="inlineStr">
        <is>
          <t>UM1</t>
        </is>
      </c>
      <c r="F17" s="11" t="n">
        <v>1</v>
      </c>
      <c r="G17" s="11" t="inlineStr">
        <is>
          <t>Y</t>
        </is>
      </c>
      <c r="H17" s="18" t="inlineStr">
        <is>
          <t>Fructose</t>
        </is>
      </c>
      <c r="I17" s="18" t="inlineStr">
        <is>
          <t>Ammonium sulfate</t>
        </is>
      </c>
      <c r="J17" s="11" t="inlineStr">
        <is>
          <t>Y</t>
        </is>
      </c>
      <c r="K17" s="11" t="n"/>
      <c r="L17" s="19" t="n"/>
    </row>
    <row r="18">
      <c r="A18" s="16" t="inlineStr">
        <is>
          <t>D3</t>
        </is>
      </c>
      <c r="B18" s="17" t="n">
        <v>3</v>
      </c>
      <c r="C18" s="17" t="inlineStr">
        <is>
          <t>D</t>
        </is>
      </c>
      <c r="D18" s="11" t="inlineStr">
        <is>
          <t>sample</t>
        </is>
      </c>
      <c r="E18" s="11" t="inlineStr">
        <is>
          <t>NH</t>
        </is>
      </c>
      <c r="F18" s="11" t="n">
        <v>1</v>
      </c>
      <c r="G18" s="11" t="inlineStr">
        <is>
          <t>Y</t>
        </is>
      </c>
      <c r="H18" s="18" t="inlineStr">
        <is>
          <t>Fructose</t>
        </is>
      </c>
      <c r="I18" s="18" t="inlineStr">
        <is>
          <t>Ammonium sulfate</t>
        </is>
      </c>
      <c r="J18" s="11" t="inlineStr">
        <is>
          <t>Y</t>
        </is>
      </c>
      <c r="K18" s="11" t="n"/>
      <c r="L18" s="19" t="n"/>
    </row>
    <row r="19">
      <c r="A19" s="16" t="inlineStr">
        <is>
          <t>E3</t>
        </is>
      </c>
      <c r="B19" s="17" t="n">
        <v>3</v>
      </c>
      <c r="C19" s="17" t="inlineStr">
        <is>
          <t>E</t>
        </is>
      </c>
      <c r="D19" s="11" t="inlineStr">
        <is>
          <t>contamination_control</t>
        </is>
      </c>
      <c r="E19" s="11" t="n"/>
      <c r="F19" s="11" t="n"/>
      <c r="G19" s="11" t="inlineStr">
        <is>
          <t>N</t>
        </is>
      </c>
      <c r="H19" s="18" t="inlineStr">
        <is>
          <t>Fructose</t>
        </is>
      </c>
      <c r="I19" s="18" t="inlineStr">
        <is>
          <t>Ammonium sulfate</t>
        </is>
      </c>
      <c r="J19" s="11" t="inlineStr">
        <is>
          <t>Y</t>
        </is>
      </c>
      <c r="K19" s="11" t="n"/>
      <c r="L19" s="19" t="n"/>
    </row>
    <row r="21">
      <c r="A21" s="3" t="inlineStr">
        <is>
          <t>Sanity check</t>
        </is>
      </c>
    </row>
    <row r="22">
      <c r="A22" s="25" t="inlineStr">
        <is>
          <t>Rows with a Role filled in (want 15)</t>
        </is>
      </c>
      <c r="D22" s="26">
        <f>COUNTA(D5:D19)</f>
        <v/>
      </c>
    </row>
    <row r="23">
      <c r="A23" s="25" t="inlineStr">
        <is>
          <t>Plates marked 'sample' (want 12)</t>
        </is>
      </c>
      <c r="D23" s="26">
        <f>COUNTIF(D5:D19,"sample")</f>
        <v/>
      </c>
    </row>
    <row r="24">
      <c r="A24" s="25" t="inlineStr">
        <is>
          <t>Plates marked 'water' (want 1)</t>
        </is>
      </c>
      <c r="D24" s="26">
        <f>COUNTIF(D5:D19,"water")</f>
        <v/>
      </c>
    </row>
    <row r="25">
      <c r="A25" s="25" t="inlineStr">
        <is>
          <t>Plates marked 'contamination_control' (want 1)</t>
        </is>
      </c>
      <c r="D25" s="26">
        <f>COUNTIF(D5:D14,"contamination_control")</f>
        <v/>
      </c>
    </row>
    <row r="26">
      <c r="A26" s="25" t="inlineStr">
        <is>
          <t>Plates marked 'minus_variable_control' (want 1)</t>
        </is>
      </c>
      <c r="D26" s="26">
        <f>COUNTIF(D5:D19,"minus_variable_control")</f>
        <v/>
      </c>
    </row>
    <row r="27">
      <c r="A27" s="25" t="inlineStr">
        <is>
          <t>Sample plates with a strain assigned (want 12)</t>
        </is>
      </c>
      <c r="D27" s="26">
        <f t="array" ref="D27">SUMPRODUCT((D5:D19="sample")*(E5:E19&lt;&gt;""))</f>
        <v/>
      </c>
    </row>
    <row r="28">
      <c r="A28" s="25" t="inlineStr">
        <is>
          <t>Sample plates with a replicate number (want 12)</t>
        </is>
      </c>
      <c r="D28" s="26">
        <f t="array" ref="D28">SUMPRODUCT((D5:D19="sample")*(F5:F19&lt;&gt;""))</f>
        <v/>
      </c>
    </row>
    <row r="29">
      <c r="A29" s="25" t="inlineStr">
        <is>
          <t>Duplicate strain+replicate pairs (want 0)</t>
        </is>
      </c>
      <c r="D29" s="26">
        <f t="array" ref="D29"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D22" sqref="D22:D29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7" t="inlineStr">
        <is>
          <t>Plate map — Glycerol Ammonium Sulfate</t>
        </is>
      </c>
    </row>
    <row r="2">
      <c r="A2" s="8" t="inlineStr">
        <is>
          <t>Yellow cells = fill in. Grey cells = fixed, do not edit. Row 4 is a worked EXAMPLE — delete it or leave it, the loader ignores row 4.</t>
        </is>
      </c>
    </row>
    <row r="3" ht="28" customHeight="1">
      <c r="A3" s="9" t="inlineStr">
        <is>
          <t>Plate</t>
        </is>
      </c>
      <c r="B3" s="9" t="inlineStr">
        <is>
          <t>Grid_Row</t>
        </is>
      </c>
      <c r="C3" s="9" t="inlineStr">
        <is>
          <t>Grid_Col</t>
        </is>
      </c>
      <c r="D3" s="9" t="inlineStr">
        <is>
          <t>Role</t>
        </is>
      </c>
      <c r="E3" s="9" t="inlineStr">
        <is>
          <t>Strain</t>
        </is>
      </c>
      <c r="F3" s="9" t="inlineStr">
        <is>
          <t>Replicate</t>
        </is>
      </c>
      <c r="G3" s="9" t="inlineStr">
        <is>
          <t>Spores</t>
        </is>
      </c>
      <c r="H3" s="9" t="inlineStr">
        <is>
          <t>Carbon</t>
        </is>
      </c>
      <c r="I3" s="9" t="inlineStr">
        <is>
          <t>Nitrogen</t>
        </is>
      </c>
      <c r="J3" s="9" t="inlineStr">
        <is>
          <t>Include</t>
        </is>
      </c>
      <c r="K3" s="9" t="inlineStr">
        <is>
          <t>Baseline_Frame</t>
        </is>
      </c>
      <c r="L3" s="9" t="inlineStr">
        <is>
          <t>Notes</t>
        </is>
      </c>
    </row>
    <row r="4" ht="16" customHeight="1" thickBot="1">
      <c r="A4" s="15" t="inlineStr">
        <is>
          <t>EXAMPLE</t>
        </is>
      </c>
      <c r="B4" s="15" t="n">
        <v>1</v>
      </c>
      <c r="C4" s="15" t="inlineStr">
        <is>
          <t>A</t>
        </is>
      </c>
      <c r="D4" s="15" t="inlineStr">
        <is>
          <t>sample</t>
        </is>
      </c>
      <c r="E4" s="15" t="inlineStr">
        <is>
          <t>STRAIN_1</t>
        </is>
      </c>
      <c r="F4" s="15" t="n">
        <v>1</v>
      </c>
      <c r="G4" s="15" t="inlineStr">
        <is>
          <t>Y</t>
        </is>
      </c>
      <c r="H4" s="15" t="inlineStr">
        <is>
          <t>Glycerol</t>
        </is>
      </c>
      <c r="I4" s="15" t="inlineStr">
        <is>
          <t>Ammonium sulfate</t>
        </is>
      </c>
      <c r="J4" s="15" t="inlineStr">
        <is>
          <t>Y</t>
        </is>
      </c>
      <c r="K4" s="15" t="inlineStr">
        <is>
          <t>auto</t>
        </is>
      </c>
      <c r="L4" s="15" t="inlineStr">
        <is>
          <t>example only — loader skips this row</t>
        </is>
      </c>
    </row>
    <row r="5">
      <c r="A5" s="16" t="inlineStr">
        <is>
          <t>A1</t>
        </is>
      </c>
      <c r="B5" s="17" t="n">
        <v>1</v>
      </c>
      <c r="C5" s="17" t="inlineStr">
        <is>
          <t>A</t>
        </is>
      </c>
      <c r="D5" s="22" t="inlineStr">
        <is>
          <t>sample</t>
        </is>
      </c>
      <c r="E5" s="22" t="n">
        <v>6205</v>
      </c>
      <c r="F5" s="22" t="n">
        <v>3</v>
      </c>
      <c r="G5" s="22" t="inlineStr">
        <is>
          <t>Y</t>
        </is>
      </c>
      <c r="H5" s="23" t="inlineStr">
        <is>
          <t>Glycerol</t>
        </is>
      </c>
      <c r="I5" s="23" t="inlineStr">
        <is>
          <t>Ammonium sulfate</t>
        </is>
      </c>
      <c r="J5" s="22" t="inlineStr">
        <is>
          <t>Y</t>
        </is>
      </c>
      <c r="K5" s="22" t="n"/>
      <c r="L5" s="19" t="n"/>
    </row>
    <row r="6">
      <c r="A6" s="16" t="inlineStr">
        <is>
          <t>B1</t>
        </is>
      </c>
      <c r="B6" s="17" t="n">
        <v>1</v>
      </c>
      <c r="C6" s="17" t="inlineStr">
        <is>
          <t>B</t>
        </is>
      </c>
      <c r="D6" s="11" t="inlineStr">
        <is>
          <t>contamination_control</t>
        </is>
      </c>
      <c r="E6" s="11" t="n"/>
      <c r="F6" s="11" t="n"/>
      <c r="G6" s="11" t="inlineStr">
        <is>
          <t>N</t>
        </is>
      </c>
      <c r="H6" s="18" t="inlineStr">
        <is>
          <t>Glycerol</t>
        </is>
      </c>
      <c r="I6" s="18" t="inlineStr">
        <is>
          <t>Ammonium sulfate</t>
        </is>
      </c>
      <c r="J6" s="11" t="inlineStr">
        <is>
          <t>Y</t>
        </is>
      </c>
      <c r="K6" s="11" t="n"/>
      <c r="L6" s="19" t="n"/>
    </row>
    <row r="7">
      <c r="A7" s="16" t="inlineStr">
        <is>
          <t>C1</t>
        </is>
      </c>
      <c r="B7" s="17" t="n">
        <v>1</v>
      </c>
      <c r="C7" s="17" t="inlineStr">
        <is>
          <t>C</t>
        </is>
      </c>
      <c r="D7" s="11" t="inlineStr">
        <is>
          <t>sample</t>
        </is>
      </c>
      <c r="E7" s="11" t="inlineStr">
        <is>
          <t>UM1</t>
        </is>
      </c>
      <c r="F7" s="11" t="n">
        <v>3</v>
      </c>
      <c r="G7" s="11" t="inlineStr">
        <is>
          <t>Y</t>
        </is>
      </c>
      <c r="H7" s="18" t="inlineStr">
        <is>
          <t>Glycerol</t>
        </is>
      </c>
      <c r="I7" s="18" t="inlineStr">
        <is>
          <t>Ammonium sulfate</t>
        </is>
      </c>
      <c r="J7" s="11" t="inlineStr">
        <is>
          <t>Y</t>
        </is>
      </c>
      <c r="K7" s="11" t="n"/>
      <c r="L7" s="19" t="n"/>
    </row>
    <row r="8">
      <c r="A8" s="16" t="inlineStr">
        <is>
          <t>D1</t>
        </is>
      </c>
      <c r="B8" s="17" t="n">
        <v>1</v>
      </c>
      <c r="C8" s="17" t="inlineStr">
        <is>
          <t>D</t>
        </is>
      </c>
      <c r="D8" s="11" t="inlineStr">
        <is>
          <t>sample</t>
        </is>
      </c>
      <c r="E8" s="11" t="inlineStr">
        <is>
          <t>NH</t>
        </is>
      </c>
      <c r="F8" s="11" t="n">
        <v>3</v>
      </c>
      <c r="G8" s="11" t="inlineStr">
        <is>
          <t>Y</t>
        </is>
      </c>
      <c r="H8" s="18" t="inlineStr">
        <is>
          <t>Glycerol</t>
        </is>
      </c>
      <c r="I8" s="18" t="inlineStr">
        <is>
          <t>Ammonium sulfate</t>
        </is>
      </c>
      <c r="J8" s="11" t="inlineStr">
        <is>
          <t>Y</t>
        </is>
      </c>
      <c r="K8" s="11" t="n"/>
      <c r="L8" s="19" t="n"/>
    </row>
    <row r="9" ht="16" customHeight="1" thickBot="1">
      <c r="A9" s="16" t="inlineStr">
        <is>
          <t>E1</t>
        </is>
      </c>
      <c r="B9" s="17" t="n">
        <v>1</v>
      </c>
      <c r="C9" s="17" t="inlineStr">
        <is>
          <t>E</t>
        </is>
      </c>
      <c r="D9" s="11" t="inlineStr">
        <is>
          <t>sample</t>
        </is>
      </c>
      <c r="E9" s="11" t="inlineStr">
        <is>
          <t>B2002</t>
        </is>
      </c>
      <c r="F9" s="11" t="n">
        <v>3</v>
      </c>
      <c r="G9" s="11" t="inlineStr">
        <is>
          <t>Y</t>
        </is>
      </c>
      <c r="H9" s="18" t="inlineStr">
        <is>
          <t>Glycerol</t>
        </is>
      </c>
      <c r="I9" s="18" t="inlineStr">
        <is>
          <t>Ammonium sulfate</t>
        </is>
      </c>
      <c r="J9" s="11" t="inlineStr">
        <is>
          <t>Y</t>
        </is>
      </c>
      <c r="K9" s="11" t="n"/>
      <c r="L9" s="19" t="n"/>
    </row>
    <row r="10">
      <c r="A10" s="20" t="inlineStr">
        <is>
          <t>A2</t>
        </is>
      </c>
      <c r="B10" s="21" t="n">
        <v>2</v>
      </c>
      <c r="C10" s="21" t="inlineStr">
        <is>
          <t>A</t>
        </is>
      </c>
      <c r="D10" s="22" t="inlineStr">
        <is>
          <t>sample</t>
        </is>
      </c>
      <c r="E10" s="22" t="inlineStr">
        <is>
          <t>B2002</t>
        </is>
      </c>
      <c r="F10" s="22" t="n">
        <v>2</v>
      </c>
      <c r="G10" s="22" t="inlineStr">
        <is>
          <t>Y</t>
        </is>
      </c>
      <c r="H10" s="23" t="inlineStr">
        <is>
          <t>Glycerol</t>
        </is>
      </c>
      <c r="I10" s="23" t="inlineStr">
        <is>
          <t>Ammonium sulfate</t>
        </is>
      </c>
      <c r="J10" s="22" t="inlineStr">
        <is>
          <t>Y</t>
        </is>
      </c>
      <c r="K10" s="22" t="n"/>
      <c r="L10" s="24" t="n"/>
    </row>
    <row r="11">
      <c r="A11" s="16" t="inlineStr">
        <is>
          <t>B2</t>
        </is>
      </c>
      <c r="B11" s="17" t="n">
        <v>2</v>
      </c>
      <c r="C11" s="17" t="inlineStr">
        <is>
          <t>B</t>
        </is>
      </c>
      <c r="D11" s="11" t="inlineStr">
        <is>
          <t>sample</t>
        </is>
      </c>
      <c r="E11" s="11" t="n">
        <v>6205</v>
      </c>
      <c r="F11" s="11" t="n">
        <v>2</v>
      </c>
      <c r="G11" s="11" t="inlineStr">
        <is>
          <t>Y</t>
        </is>
      </c>
      <c r="H11" s="18" t="inlineStr">
        <is>
          <t>Glycerol</t>
        </is>
      </c>
      <c r="I11" s="18" t="inlineStr">
        <is>
          <t>Ammonium sulfate</t>
        </is>
      </c>
      <c r="J11" s="11" t="inlineStr">
        <is>
          <t>Y</t>
        </is>
      </c>
      <c r="K11" s="11" t="n"/>
      <c r="L11" s="19" t="n"/>
    </row>
    <row r="12">
      <c r="A12" s="16" t="inlineStr">
        <is>
          <t>C2</t>
        </is>
      </c>
      <c r="B12" s="17" t="n">
        <v>2</v>
      </c>
      <c r="C12" s="17" t="inlineStr">
        <is>
          <t>C</t>
        </is>
      </c>
      <c r="D12" s="11" t="inlineStr">
        <is>
          <t>water</t>
        </is>
      </c>
      <c r="E12" s="11" t="n"/>
      <c r="F12" s="11" t="n"/>
      <c r="G12" s="11" t="inlineStr">
        <is>
          <t>N</t>
        </is>
      </c>
      <c r="H12" s="18" t="inlineStr">
        <is>
          <t>Glycerol</t>
        </is>
      </c>
      <c r="I12" s="18" t="inlineStr">
        <is>
          <t>Ammonium sulfate</t>
        </is>
      </c>
      <c r="J12" s="11" t="inlineStr">
        <is>
          <t>N</t>
        </is>
      </c>
      <c r="K12" s="11" t="n"/>
      <c r="L12" s="19" t="n"/>
    </row>
    <row r="13">
      <c r="A13" s="16" t="inlineStr">
        <is>
          <t>D2</t>
        </is>
      </c>
      <c r="B13" s="17" t="n">
        <v>2</v>
      </c>
      <c r="C13" s="17" t="inlineStr">
        <is>
          <t>D</t>
        </is>
      </c>
      <c r="D13" s="11" t="inlineStr">
        <is>
          <t>minus_variable_control</t>
        </is>
      </c>
      <c r="E13" s="11" t="n">
        <v>6205</v>
      </c>
      <c r="F13" s="11" t="n"/>
      <c r="G13" s="11" t="inlineStr">
        <is>
          <t>Y</t>
        </is>
      </c>
      <c r="H13" s="18" t="inlineStr">
        <is>
          <t>Glycerol</t>
        </is>
      </c>
      <c r="I13" s="18" t="inlineStr">
        <is>
          <t>Ammonium sulfate</t>
        </is>
      </c>
      <c r="J13" s="11" t="inlineStr">
        <is>
          <t>Y</t>
        </is>
      </c>
      <c r="K13" s="11" t="n"/>
      <c r="L13" s="19" t="n"/>
    </row>
    <row r="14" ht="16" customHeight="1" thickBot="1">
      <c r="A14" s="16" t="inlineStr">
        <is>
          <t>E2</t>
        </is>
      </c>
      <c r="B14" s="17" t="n">
        <v>2</v>
      </c>
      <c r="C14" s="17" t="inlineStr">
        <is>
          <t>E</t>
        </is>
      </c>
      <c r="D14" s="11" t="inlineStr">
        <is>
          <t>sample</t>
        </is>
      </c>
      <c r="E14" s="11" t="inlineStr">
        <is>
          <t>UM1</t>
        </is>
      </c>
      <c r="F14" s="11" t="n">
        <v>2</v>
      </c>
      <c r="G14" s="11" t="inlineStr">
        <is>
          <t>Y</t>
        </is>
      </c>
      <c r="H14" s="18" t="inlineStr">
        <is>
          <t>Glycerol</t>
        </is>
      </c>
      <c r="I14" s="18" t="inlineStr">
        <is>
          <t>Ammonium sulfate</t>
        </is>
      </c>
      <c r="J14" s="11" t="inlineStr">
        <is>
          <t>Y</t>
        </is>
      </c>
      <c r="K14" s="11" t="n"/>
      <c r="L14" s="19" t="n"/>
    </row>
    <row r="15">
      <c r="A15" s="20" t="inlineStr">
        <is>
          <t>A3</t>
        </is>
      </c>
      <c r="B15" s="21" t="n">
        <v>3</v>
      </c>
      <c r="C15" s="21" t="inlineStr">
        <is>
          <t>A</t>
        </is>
      </c>
      <c r="D15" s="11" t="inlineStr">
        <is>
          <t>sample</t>
        </is>
      </c>
      <c r="E15" s="11" t="inlineStr">
        <is>
          <t>UM1</t>
        </is>
      </c>
      <c r="F15" s="11" t="n">
        <v>1</v>
      </c>
      <c r="G15" s="11" t="inlineStr">
        <is>
          <t>Y</t>
        </is>
      </c>
      <c r="H15" s="18" t="inlineStr">
        <is>
          <t>Glycerol</t>
        </is>
      </c>
      <c r="I15" s="18" t="inlineStr">
        <is>
          <t>Ammonium sulfate</t>
        </is>
      </c>
      <c r="J15" s="11" t="inlineStr">
        <is>
          <t>Y</t>
        </is>
      </c>
      <c r="K15" s="11" t="n"/>
      <c r="L15" s="24" t="n"/>
    </row>
    <row r="16">
      <c r="A16" s="16" t="inlineStr">
        <is>
          <t>B3</t>
        </is>
      </c>
      <c r="B16" s="17" t="n">
        <v>3</v>
      </c>
      <c r="C16" s="17" t="inlineStr">
        <is>
          <t>B</t>
        </is>
      </c>
      <c r="D16" s="11" t="inlineStr">
        <is>
          <t>sample</t>
        </is>
      </c>
      <c r="E16" s="11" t="inlineStr">
        <is>
          <t>NH</t>
        </is>
      </c>
      <c r="F16" s="11" t="n">
        <v>1</v>
      </c>
      <c r="G16" s="11" t="inlineStr">
        <is>
          <t>Y</t>
        </is>
      </c>
      <c r="H16" s="18" t="inlineStr">
        <is>
          <t>Glycerol</t>
        </is>
      </c>
      <c r="I16" s="18" t="inlineStr">
        <is>
          <t>Ammonium sulfate</t>
        </is>
      </c>
      <c r="J16" s="11" t="inlineStr">
        <is>
          <t>Y</t>
        </is>
      </c>
      <c r="K16" s="11" t="n"/>
      <c r="L16" s="19" t="n"/>
    </row>
    <row r="17">
      <c r="A17" s="16" t="inlineStr">
        <is>
          <t>C3</t>
        </is>
      </c>
      <c r="B17" s="17" t="n">
        <v>3</v>
      </c>
      <c r="C17" s="17" t="inlineStr">
        <is>
          <t>C</t>
        </is>
      </c>
      <c r="D17" s="11" t="inlineStr">
        <is>
          <t>sample</t>
        </is>
      </c>
      <c r="E17" s="11" t="inlineStr">
        <is>
          <t>NH</t>
        </is>
      </c>
      <c r="F17" s="11" t="n">
        <v>2</v>
      </c>
      <c r="G17" s="11" t="inlineStr">
        <is>
          <t>Y</t>
        </is>
      </c>
      <c r="H17" s="18" t="inlineStr">
        <is>
          <t>Glycerol</t>
        </is>
      </c>
      <c r="I17" s="18" t="inlineStr">
        <is>
          <t>Ammonium sulfate</t>
        </is>
      </c>
      <c r="J17" s="11" t="inlineStr">
        <is>
          <t>Y</t>
        </is>
      </c>
      <c r="K17" s="11" t="n"/>
      <c r="L17" s="19" t="n"/>
    </row>
    <row r="18">
      <c r="A18" s="16" t="inlineStr">
        <is>
          <t>D3</t>
        </is>
      </c>
      <c r="B18" s="17" t="n">
        <v>3</v>
      </c>
      <c r="C18" s="17" t="inlineStr">
        <is>
          <t>D</t>
        </is>
      </c>
      <c r="D18" s="11" t="inlineStr">
        <is>
          <t>sample</t>
        </is>
      </c>
      <c r="E18" s="11" t="inlineStr">
        <is>
          <t>B2002</t>
        </is>
      </c>
      <c r="F18" s="11" t="n">
        <v>1</v>
      </c>
      <c r="G18" s="11" t="inlineStr">
        <is>
          <t>Y</t>
        </is>
      </c>
      <c r="H18" s="18" t="inlineStr">
        <is>
          <t>Glycerol</t>
        </is>
      </c>
      <c r="I18" s="18" t="inlineStr">
        <is>
          <t>Ammonium sulfate</t>
        </is>
      </c>
      <c r="J18" s="11" t="inlineStr">
        <is>
          <t>Y</t>
        </is>
      </c>
      <c r="K18" s="11" t="n"/>
      <c r="L18" s="19" t="n"/>
    </row>
    <row r="19">
      <c r="A19" s="16" t="inlineStr">
        <is>
          <t>E3</t>
        </is>
      </c>
      <c r="B19" s="17" t="n">
        <v>3</v>
      </c>
      <c r="C19" s="17" t="inlineStr">
        <is>
          <t>E</t>
        </is>
      </c>
      <c r="D19" s="11" t="inlineStr">
        <is>
          <t>sample</t>
        </is>
      </c>
      <c r="E19" s="11" t="n">
        <v>6205</v>
      </c>
      <c r="F19" s="11" t="n">
        <v>1</v>
      </c>
      <c r="G19" s="11" t="inlineStr">
        <is>
          <t>Y</t>
        </is>
      </c>
      <c r="H19" s="18" t="inlineStr">
        <is>
          <t>Glycerol</t>
        </is>
      </c>
      <c r="I19" s="18" t="inlineStr">
        <is>
          <t>Ammonium sulfate</t>
        </is>
      </c>
      <c r="J19" s="11" t="inlineStr">
        <is>
          <t>Y</t>
        </is>
      </c>
      <c r="K19" s="11" t="n"/>
      <c r="L19" s="19" t="n"/>
    </row>
    <row r="21">
      <c r="A21" s="3" t="inlineStr">
        <is>
          <t>Sanity check</t>
        </is>
      </c>
    </row>
    <row r="22">
      <c r="A22" s="25" t="inlineStr">
        <is>
          <t>Rows with a Role filled in (want 15)</t>
        </is>
      </c>
      <c r="D22" s="26">
        <f>COUNTA(D5:D19)</f>
        <v/>
      </c>
    </row>
    <row r="23">
      <c r="A23" s="25" t="inlineStr">
        <is>
          <t>Plates marked 'sample' (want 12)</t>
        </is>
      </c>
      <c r="D23" s="26">
        <f>COUNTIF(D5:D19,"sample")</f>
        <v/>
      </c>
    </row>
    <row r="24">
      <c r="A24" s="25" t="inlineStr">
        <is>
          <t>Plates marked 'water' (want 1)</t>
        </is>
      </c>
      <c r="D24" s="26">
        <f>COUNTIF(D5:D19,"water")</f>
        <v/>
      </c>
    </row>
    <row r="25">
      <c r="A25" s="25" t="inlineStr">
        <is>
          <t>Plates marked 'contamination_control' (want 1)</t>
        </is>
      </c>
      <c r="D25" s="26">
        <f>COUNTIF(D5:D14,"contamination_control")</f>
        <v/>
      </c>
    </row>
    <row r="26">
      <c r="A26" s="25" t="inlineStr">
        <is>
          <t>Plates marked 'minus_variable_control' (want 1)</t>
        </is>
      </c>
      <c r="D26" s="26">
        <f>COUNTIF(D5:D19,"minus_variable_control")</f>
        <v/>
      </c>
    </row>
    <row r="27">
      <c r="A27" s="25" t="inlineStr">
        <is>
          <t>Sample plates with a strain assigned (want 12)</t>
        </is>
      </c>
      <c r="D27" s="26">
        <f t="array" ref="D27">SUMPRODUCT((D5:D19="sample")*(E5:E19&lt;&gt;""))</f>
        <v/>
      </c>
    </row>
    <row r="28">
      <c r="A28" s="25" t="inlineStr">
        <is>
          <t>Sample plates with a replicate number (want 12)</t>
        </is>
      </c>
      <c r="D28" s="26">
        <f t="array" ref="D28">SUMPRODUCT((D5:D19="sample")*(F5:F19&lt;&gt;""))</f>
        <v/>
      </c>
    </row>
    <row r="29">
      <c r="A29" s="25" t="inlineStr">
        <is>
          <t>Duplicate strain+replicate pairs (want 0)</t>
        </is>
      </c>
      <c r="D29" s="26">
        <f t="array" ref="D29"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D22" sqref="D22:D29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7" t="inlineStr">
        <is>
          <t>Plate map — Molasses Ammonium Sulfate</t>
        </is>
      </c>
    </row>
    <row r="2">
      <c r="A2" s="8" t="inlineStr">
        <is>
          <t>Yellow cells = fill in. Grey cells = fixed, do not edit. Row 4 is a worked EXAMPLE — delete it or leave it, the loader ignores row 4.</t>
        </is>
      </c>
    </row>
    <row r="3" ht="28" customHeight="1">
      <c r="A3" s="9" t="inlineStr">
        <is>
          <t>Plate</t>
        </is>
      </c>
      <c r="B3" s="9" t="inlineStr">
        <is>
          <t>Grid_Row</t>
        </is>
      </c>
      <c r="C3" s="9" t="inlineStr">
        <is>
          <t>Grid_Col</t>
        </is>
      </c>
      <c r="D3" s="9" t="inlineStr">
        <is>
          <t>Role</t>
        </is>
      </c>
      <c r="E3" s="9" t="inlineStr">
        <is>
          <t>Strain</t>
        </is>
      </c>
      <c r="F3" s="9" t="inlineStr">
        <is>
          <t>Replicate</t>
        </is>
      </c>
      <c r="G3" s="9" t="inlineStr">
        <is>
          <t>Spores</t>
        </is>
      </c>
      <c r="H3" s="9" t="inlineStr">
        <is>
          <t>Carbon</t>
        </is>
      </c>
      <c r="I3" s="9" t="inlineStr">
        <is>
          <t>Nitrogen</t>
        </is>
      </c>
      <c r="J3" s="9" t="inlineStr">
        <is>
          <t>Include</t>
        </is>
      </c>
      <c r="K3" s="9" t="inlineStr">
        <is>
          <t>Baseline_Frame</t>
        </is>
      </c>
      <c r="L3" s="9" t="inlineStr">
        <is>
          <t>Notes</t>
        </is>
      </c>
    </row>
    <row r="4" ht="16" customHeight="1" thickBot="1">
      <c r="A4" s="15" t="inlineStr">
        <is>
          <t>EXAMPLE</t>
        </is>
      </c>
      <c r="B4" s="15" t="n">
        <v>1</v>
      </c>
      <c r="C4" s="15" t="inlineStr">
        <is>
          <t>A</t>
        </is>
      </c>
      <c r="D4" s="15" t="inlineStr">
        <is>
          <t>sample</t>
        </is>
      </c>
      <c r="E4" s="15" t="inlineStr">
        <is>
          <t>STRAIN_1</t>
        </is>
      </c>
      <c r="F4" s="15" t="n">
        <v>1</v>
      </c>
      <c r="G4" s="15" t="inlineStr">
        <is>
          <t>Y</t>
        </is>
      </c>
      <c r="H4" s="15" t="inlineStr">
        <is>
          <t>Molasses</t>
        </is>
      </c>
      <c r="I4" s="15" t="inlineStr">
        <is>
          <t>Ammonium sulfate</t>
        </is>
      </c>
      <c r="J4" s="15" t="inlineStr">
        <is>
          <t>Y</t>
        </is>
      </c>
      <c r="K4" s="15" t="inlineStr">
        <is>
          <t>auto</t>
        </is>
      </c>
      <c r="L4" s="15" t="inlineStr">
        <is>
          <t>example only — loader skips this row</t>
        </is>
      </c>
    </row>
    <row r="5">
      <c r="A5" s="16" t="inlineStr">
        <is>
          <t>A1</t>
        </is>
      </c>
      <c r="B5" s="17" t="n">
        <v>1</v>
      </c>
      <c r="C5" s="17" t="inlineStr">
        <is>
          <t>A</t>
        </is>
      </c>
      <c r="D5" s="22" t="inlineStr">
        <is>
          <t>sample</t>
        </is>
      </c>
      <c r="E5" s="22" t="inlineStr">
        <is>
          <t>UM1</t>
        </is>
      </c>
      <c r="F5" s="22" t="n">
        <v>3</v>
      </c>
      <c r="G5" s="22" t="inlineStr">
        <is>
          <t>Y</t>
        </is>
      </c>
      <c r="H5" s="23" t="inlineStr">
        <is>
          <t>Molasses</t>
        </is>
      </c>
      <c r="I5" s="23" t="inlineStr">
        <is>
          <t>Ammonium sulfate</t>
        </is>
      </c>
      <c r="J5" s="22" t="inlineStr">
        <is>
          <t>Y</t>
        </is>
      </c>
      <c r="K5" s="22" t="n"/>
      <c r="L5" s="19" t="n"/>
    </row>
    <row r="6">
      <c r="A6" s="16" t="inlineStr">
        <is>
          <t>B1</t>
        </is>
      </c>
      <c r="B6" s="17" t="n">
        <v>1</v>
      </c>
      <c r="C6" s="17" t="inlineStr">
        <is>
          <t>B</t>
        </is>
      </c>
      <c r="D6" s="11" t="inlineStr">
        <is>
          <t>contamination_control</t>
        </is>
      </c>
      <c r="E6" s="11" t="n"/>
      <c r="F6" s="11" t="n"/>
      <c r="G6" s="11" t="inlineStr">
        <is>
          <t>N</t>
        </is>
      </c>
      <c r="H6" s="18" t="inlineStr">
        <is>
          <t>Molasses</t>
        </is>
      </c>
      <c r="I6" s="18" t="inlineStr">
        <is>
          <t>Ammonium sulfate</t>
        </is>
      </c>
      <c r="J6" s="11" t="inlineStr">
        <is>
          <t>Y</t>
        </is>
      </c>
      <c r="K6" s="11" t="n"/>
      <c r="L6" s="19" t="n"/>
    </row>
    <row r="7">
      <c r="A7" s="16" t="inlineStr">
        <is>
          <t>C1</t>
        </is>
      </c>
      <c r="B7" s="17" t="n">
        <v>1</v>
      </c>
      <c r="C7" s="17" t="inlineStr">
        <is>
          <t>C</t>
        </is>
      </c>
      <c r="D7" s="11" t="inlineStr">
        <is>
          <t>sample</t>
        </is>
      </c>
      <c r="E7" s="11" t="inlineStr">
        <is>
          <t>B2002</t>
        </is>
      </c>
      <c r="F7" s="11" t="n">
        <v>3</v>
      </c>
      <c r="G7" s="11" t="inlineStr">
        <is>
          <t>Y</t>
        </is>
      </c>
      <c r="H7" s="18" t="inlineStr">
        <is>
          <t>Molasses</t>
        </is>
      </c>
      <c r="I7" s="18" t="inlineStr">
        <is>
          <t>Ammonium sulfate</t>
        </is>
      </c>
      <c r="J7" s="11" t="inlineStr">
        <is>
          <t>Y</t>
        </is>
      </c>
      <c r="K7" s="11" t="n"/>
      <c r="L7" s="19" t="n"/>
    </row>
    <row r="8">
      <c r="A8" s="16" t="inlineStr">
        <is>
          <t>D1</t>
        </is>
      </c>
      <c r="B8" s="17" t="n">
        <v>1</v>
      </c>
      <c r="C8" s="17" t="inlineStr">
        <is>
          <t>D</t>
        </is>
      </c>
      <c r="D8" s="11" t="inlineStr">
        <is>
          <t>sample</t>
        </is>
      </c>
      <c r="E8" s="11" t="n">
        <v>6205</v>
      </c>
      <c r="F8" s="11" t="n">
        <v>3</v>
      </c>
      <c r="G8" s="11" t="inlineStr">
        <is>
          <t>Y</t>
        </is>
      </c>
      <c r="H8" s="18" t="inlineStr">
        <is>
          <t>Molasses</t>
        </is>
      </c>
      <c r="I8" s="18" t="inlineStr">
        <is>
          <t>Ammonium sulfate</t>
        </is>
      </c>
      <c r="J8" s="11" t="inlineStr">
        <is>
          <t>Y</t>
        </is>
      </c>
      <c r="K8" s="11" t="n"/>
      <c r="L8" s="19" t="n"/>
    </row>
    <row r="9" ht="16" customHeight="1" thickBot="1">
      <c r="A9" s="16" t="inlineStr">
        <is>
          <t>E1</t>
        </is>
      </c>
      <c r="B9" s="17" t="n">
        <v>1</v>
      </c>
      <c r="C9" s="17" t="inlineStr">
        <is>
          <t>E</t>
        </is>
      </c>
      <c r="D9" s="11" t="inlineStr">
        <is>
          <t>sample</t>
        </is>
      </c>
      <c r="E9" s="11" t="inlineStr">
        <is>
          <t>NH</t>
        </is>
      </c>
      <c r="F9" s="11" t="n">
        <v>3</v>
      </c>
      <c r="G9" s="11" t="inlineStr">
        <is>
          <t>Y</t>
        </is>
      </c>
      <c r="H9" s="18" t="inlineStr">
        <is>
          <t>Molasses</t>
        </is>
      </c>
      <c r="I9" s="18" t="inlineStr">
        <is>
          <t>Ammonium sulfate</t>
        </is>
      </c>
      <c r="J9" s="11" t="inlineStr">
        <is>
          <t>Y</t>
        </is>
      </c>
      <c r="K9" s="11" t="n"/>
      <c r="L9" s="19" t="n"/>
    </row>
    <row r="10">
      <c r="A10" s="20" t="inlineStr">
        <is>
          <t>A2</t>
        </is>
      </c>
      <c r="B10" s="21" t="n">
        <v>2</v>
      </c>
      <c r="C10" s="21" t="inlineStr">
        <is>
          <t>A</t>
        </is>
      </c>
      <c r="D10" s="22" t="inlineStr">
        <is>
          <t>sample</t>
        </is>
      </c>
      <c r="E10" s="22" t="inlineStr">
        <is>
          <t>NH</t>
        </is>
      </c>
      <c r="F10" s="22" t="n">
        <v>2</v>
      </c>
      <c r="G10" s="22" t="inlineStr">
        <is>
          <t>Y</t>
        </is>
      </c>
      <c r="H10" s="23" t="inlineStr">
        <is>
          <t>Molasses</t>
        </is>
      </c>
      <c r="I10" s="23" t="inlineStr">
        <is>
          <t>Ammonium sulfate</t>
        </is>
      </c>
      <c r="J10" s="22" t="inlineStr">
        <is>
          <t>Y</t>
        </is>
      </c>
      <c r="K10" s="22" t="n"/>
      <c r="L10" s="24" t="n"/>
    </row>
    <row r="11">
      <c r="A11" s="16" t="inlineStr">
        <is>
          <t>B2</t>
        </is>
      </c>
      <c r="B11" s="17" t="n">
        <v>2</v>
      </c>
      <c r="C11" s="17" t="inlineStr">
        <is>
          <t>B</t>
        </is>
      </c>
      <c r="D11" s="11" t="inlineStr">
        <is>
          <t>sample</t>
        </is>
      </c>
      <c r="E11" s="11" t="inlineStr">
        <is>
          <t>UM1</t>
        </is>
      </c>
      <c r="F11" s="11" t="n">
        <v>2</v>
      </c>
      <c r="G11" s="11" t="inlineStr">
        <is>
          <t>Y</t>
        </is>
      </c>
      <c r="H11" s="18" t="inlineStr">
        <is>
          <t>Molasses</t>
        </is>
      </c>
      <c r="I11" s="18" t="inlineStr">
        <is>
          <t>Ammonium sulfate</t>
        </is>
      </c>
      <c r="J11" s="11" t="inlineStr">
        <is>
          <t>Y</t>
        </is>
      </c>
      <c r="K11" s="11" t="n"/>
      <c r="L11" s="19" t="n"/>
    </row>
    <row r="12">
      <c r="A12" s="16" t="inlineStr">
        <is>
          <t>C2</t>
        </is>
      </c>
      <c r="B12" s="17" t="n">
        <v>2</v>
      </c>
      <c r="C12" s="17" t="inlineStr">
        <is>
          <t>C</t>
        </is>
      </c>
      <c r="D12" s="11" t="inlineStr">
        <is>
          <t>water</t>
        </is>
      </c>
      <c r="E12" s="11" t="n"/>
      <c r="F12" s="11" t="n"/>
      <c r="G12" s="11" t="inlineStr">
        <is>
          <t>N</t>
        </is>
      </c>
      <c r="H12" s="18" t="inlineStr">
        <is>
          <t>Molasses</t>
        </is>
      </c>
      <c r="I12" s="18" t="inlineStr">
        <is>
          <t>Ammonium sulfate</t>
        </is>
      </c>
      <c r="J12" s="11" t="inlineStr">
        <is>
          <t>N</t>
        </is>
      </c>
      <c r="K12" s="11" t="n"/>
      <c r="L12" s="19" t="n"/>
    </row>
    <row r="13">
      <c r="A13" s="16" t="inlineStr">
        <is>
          <t>D2</t>
        </is>
      </c>
      <c r="B13" s="17" t="n">
        <v>2</v>
      </c>
      <c r="C13" s="17" t="inlineStr">
        <is>
          <t>D</t>
        </is>
      </c>
      <c r="D13" s="11" t="inlineStr">
        <is>
          <t>sample</t>
        </is>
      </c>
      <c r="E13" s="11" t="inlineStr">
        <is>
          <t>B2002</t>
        </is>
      </c>
      <c r="F13" s="11" t="n">
        <v>2</v>
      </c>
      <c r="G13" s="11" t="inlineStr">
        <is>
          <t>Y</t>
        </is>
      </c>
      <c r="H13" s="18" t="inlineStr">
        <is>
          <t>Molasses</t>
        </is>
      </c>
      <c r="I13" s="18" t="inlineStr">
        <is>
          <t>Ammonium sulfate</t>
        </is>
      </c>
      <c r="J13" s="11" t="inlineStr">
        <is>
          <t>Y</t>
        </is>
      </c>
      <c r="K13" s="11" t="n"/>
      <c r="L13" s="19" t="n"/>
    </row>
    <row r="14" ht="16" customHeight="1" thickBot="1">
      <c r="A14" s="16" t="inlineStr">
        <is>
          <t>E2</t>
        </is>
      </c>
      <c r="B14" s="17" t="n">
        <v>2</v>
      </c>
      <c r="C14" s="17" t="inlineStr">
        <is>
          <t>E</t>
        </is>
      </c>
      <c r="D14" s="11" t="inlineStr">
        <is>
          <t>sample</t>
        </is>
      </c>
      <c r="E14" s="11" t="n">
        <v>6205</v>
      </c>
      <c r="F14" s="11" t="n">
        <v>2</v>
      </c>
      <c r="G14" s="11" t="inlineStr">
        <is>
          <t>Y</t>
        </is>
      </c>
      <c r="H14" s="18" t="inlineStr">
        <is>
          <t>Molasses</t>
        </is>
      </c>
      <c r="I14" s="18" t="inlineStr">
        <is>
          <t>Ammonium sulfate</t>
        </is>
      </c>
      <c r="J14" s="11" t="inlineStr">
        <is>
          <t>Y</t>
        </is>
      </c>
      <c r="K14" s="11" t="n"/>
      <c r="L14" s="19" t="n"/>
    </row>
    <row r="15">
      <c r="A15" s="20" t="inlineStr">
        <is>
          <t>A3</t>
        </is>
      </c>
      <c r="B15" s="21" t="n">
        <v>3</v>
      </c>
      <c r="C15" s="21" t="inlineStr">
        <is>
          <t>A</t>
        </is>
      </c>
      <c r="D15" s="11" t="inlineStr">
        <is>
          <t>sample</t>
        </is>
      </c>
      <c r="E15" s="11" t="n">
        <v>6205</v>
      </c>
      <c r="F15" s="11" t="n">
        <v>1</v>
      </c>
      <c r="G15" s="11" t="inlineStr">
        <is>
          <t>Y</t>
        </is>
      </c>
      <c r="H15" s="18" t="inlineStr">
        <is>
          <t>Molasses</t>
        </is>
      </c>
      <c r="I15" s="18" t="inlineStr">
        <is>
          <t>Ammonium sulfate</t>
        </is>
      </c>
      <c r="J15" s="11" t="inlineStr">
        <is>
          <t>Y</t>
        </is>
      </c>
      <c r="K15" s="11" t="n"/>
      <c r="L15" s="24" t="n"/>
    </row>
    <row r="16">
      <c r="A16" s="16" t="inlineStr">
        <is>
          <t>B3</t>
        </is>
      </c>
      <c r="B16" s="17" t="n">
        <v>3</v>
      </c>
      <c r="C16" s="17" t="inlineStr">
        <is>
          <t>B</t>
        </is>
      </c>
      <c r="D16" s="11" t="inlineStr">
        <is>
          <t>minus_variable_control</t>
        </is>
      </c>
      <c r="E16" s="11" t="n">
        <v>6205</v>
      </c>
      <c r="F16" s="11" t="n"/>
      <c r="G16" s="11" t="inlineStr">
        <is>
          <t>Y</t>
        </is>
      </c>
      <c r="H16" s="18" t="inlineStr">
        <is>
          <t>Molasses</t>
        </is>
      </c>
      <c r="I16" s="18" t="inlineStr">
        <is>
          <t>Ammonium sulfate</t>
        </is>
      </c>
      <c r="J16" s="11" t="inlineStr">
        <is>
          <t>Y</t>
        </is>
      </c>
      <c r="K16" s="11" t="n"/>
      <c r="L16" s="19" t="n"/>
    </row>
    <row r="17">
      <c r="A17" s="16" t="inlineStr">
        <is>
          <t>C3</t>
        </is>
      </c>
      <c r="B17" s="17" t="n">
        <v>3</v>
      </c>
      <c r="C17" s="17" t="inlineStr">
        <is>
          <t>C</t>
        </is>
      </c>
      <c r="D17" s="11" t="inlineStr">
        <is>
          <t>sample</t>
        </is>
      </c>
      <c r="E17" s="11" t="inlineStr">
        <is>
          <t>NH</t>
        </is>
      </c>
      <c r="F17" s="11" t="n">
        <v>1</v>
      </c>
      <c r="G17" s="11" t="inlineStr">
        <is>
          <t>Y</t>
        </is>
      </c>
      <c r="H17" s="18" t="inlineStr">
        <is>
          <t>Molasses</t>
        </is>
      </c>
      <c r="I17" s="18" t="inlineStr">
        <is>
          <t>Ammonium sulfate</t>
        </is>
      </c>
      <c r="J17" s="11" t="inlineStr">
        <is>
          <t>Y</t>
        </is>
      </c>
      <c r="K17" s="11" t="n"/>
      <c r="L17" s="19" t="n"/>
    </row>
    <row r="18">
      <c r="A18" s="16" t="inlineStr">
        <is>
          <t>D3</t>
        </is>
      </c>
      <c r="B18" s="17" t="n">
        <v>3</v>
      </c>
      <c r="C18" s="17" t="inlineStr">
        <is>
          <t>D</t>
        </is>
      </c>
      <c r="D18" s="11" t="inlineStr">
        <is>
          <t>sample</t>
        </is>
      </c>
      <c r="E18" s="11" t="inlineStr">
        <is>
          <t>UM1</t>
        </is>
      </c>
      <c r="F18" s="11" t="n">
        <v>1</v>
      </c>
      <c r="G18" s="11" t="inlineStr">
        <is>
          <t>Y</t>
        </is>
      </c>
      <c r="H18" s="18" t="inlineStr">
        <is>
          <t>Molasses</t>
        </is>
      </c>
      <c r="I18" s="18" t="inlineStr">
        <is>
          <t>Ammonium sulfate</t>
        </is>
      </c>
      <c r="J18" s="11" t="inlineStr">
        <is>
          <t>Y</t>
        </is>
      </c>
      <c r="K18" s="11" t="n"/>
      <c r="L18" s="19" t="n"/>
    </row>
    <row r="19">
      <c r="A19" s="16" t="inlineStr">
        <is>
          <t>E3</t>
        </is>
      </c>
      <c r="B19" s="17" t="n">
        <v>3</v>
      </c>
      <c r="C19" s="17" t="inlineStr">
        <is>
          <t>E</t>
        </is>
      </c>
      <c r="D19" s="11" t="inlineStr">
        <is>
          <t>sample</t>
        </is>
      </c>
      <c r="E19" s="11" t="inlineStr">
        <is>
          <t>B2002</t>
        </is>
      </c>
      <c r="F19" s="11" t="n">
        <v>1</v>
      </c>
      <c r="G19" s="11" t="inlineStr">
        <is>
          <t>Y</t>
        </is>
      </c>
      <c r="H19" s="18" t="inlineStr">
        <is>
          <t>Molasses</t>
        </is>
      </c>
      <c r="I19" s="18" t="inlineStr">
        <is>
          <t>Ammonium sulfate</t>
        </is>
      </c>
      <c r="J19" s="11" t="inlineStr">
        <is>
          <t>Y</t>
        </is>
      </c>
      <c r="K19" s="11" t="n"/>
      <c r="L19" s="19" t="n"/>
    </row>
    <row r="21">
      <c r="A21" s="3" t="inlineStr">
        <is>
          <t>Sanity check</t>
        </is>
      </c>
    </row>
    <row r="22">
      <c r="A22" s="25" t="inlineStr">
        <is>
          <t>Rows with a Role filled in (want 15)</t>
        </is>
      </c>
      <c r="D22" s="26">
        <f>COUNTA(D5:D19)</f>
        <v/>
      </c>
    </row>
    <row r="23">
      <c r="A23" s="25" t="inlineStr">
        <is>
          <t>Plates marked 'sample' (want 12)</t>
        </is>
      </c>
      <c r="D23" s="26">
        <f>COUNTIF(D5:D19,"sample")</f>
        <v/>
      </c>
    </row>
    <row r="24">
      <c r="A24" s="25" t="inlineStr">
        <is>
          <t>Plates marked 'water' (want 1)</t>
        </is>
      </c>
      <c r="D24" s="26">
        <f>COUNTIF(D5:D19,"water")</f>
        <v/>
      </c>
    </row>
    <row r="25">
      <c r="A25" s="25" t="inlineStr">
        <is>
          <t>Plates marked 'contamination_control' (want 1)</t>
        </is>
      </c>
      <c r="D25" s="26">
        <f>COUNTIF(D5:D14,"contamination_control")</f>
        <v/>
      </c>
    </row>
    <row r="26">
      <c r="A26" s="25" t="inlineStr">
        <is>
          <t>Plates marked 'minus_variable_control' (want 1)</t>
        </is>
      </c>
      <c r="D26" s="26">
        <f>COUNTIF(D5:D19,"minus_variable_control")</f>
        <v/>
      </c>
    </row>
    <row r="27">
      <c r="A27" s="25" t="inlineStr">
        <is>
          <t>Sample plates with a strain assigned (want 12)</t>
        </is>
      </c>
      <c r="D27" s="26">
        <f t="array" ref="D27">SUMPRODUCT((D5:D19="sample")*(E5:E19&lt;&gt;""))</f>
        <v/>
      </c>
    </row>
    <row r="28">
      <c r="A28" s="25" t="inlineStr">
        <is>
          <t>Sample plates with a replicate number (want 12)</t>
        </is>
      </c>
      <c r="D28" s="26">
        <f t="array" ref="D28">SUMPRODUCT((D5:D19="sample")*(F5:F19&lt;&gt;""))</f>
        <v/>
      </c>
    </row>
    <row r="29">
      <c r="A29" s="25" t="inlineStr">
        <is>
          <t>Duplicate strain+replicate pairs (want 0)</t>
        </is>
      </c>
      <c r="D29" s="26">
        <f t="array" ref="D29"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F30" sqref="F30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7" t="inlineStr">
        <is>
          <t>Plate map — Xylose Ammonium Sulfate</t>
        </is>
      </c>
    </row>
    <row r="2">
      <c r="A2" s="8" t="inlineStr">
        <is>
          <t>Yellow cells = fill in. Grey cells = fixed, do not edit. Row 4 is a worked EXAMPLE — delete it or leave it, the loader ignores row 4.</t>
        </is>
      </c>
    </row>
    <row r="3" ht="28" customHeight="1">
      <c r="A3" s="9" t="inlineStr">
        <is>
          <t>Plate</t>
        </is>
      </c>
      <c r="B3" s="9" t="inlineStr">
        <is>
          <t>Grid_Row</t>
        </is>
      </c>
      <c r="C3" s="9" t="inlineStr">
        <is>
          <t>Grid_Col</t>
        </is>
      </c>
      <c r="D3" s="9" t="inlineStr">
        <is>
          <t>Role</t>
        </is>
      </c>
      <c r="E3" s="9" t="inlineStr">
        <is>
          <t>Strain</t>
        </is>
      </c>
      <c r="F3" s="9" t="inlineStr">
        <is>
          <t>Replicate</t>
        </is>
      </c>
      <c r="G3" s="9" t="inlineStr">
        <is>
          <t>Spores</t>
        </is>
      </c>
      <c r="H3" s="9" t="inlineStr">
        <is>
          <t>Carbon</t>
        </is>
      </c>
      <c r="I3" s="9" t="inlineStr">
        <is>
          <t>Nitrogen</t>
        </is>
      </c>
      <c r="J3" s="9" t="inlineStr">
        <is>
          <t>Include</t>
        </is>
      </c>
      <c r="K3" s="9" t="inlineStr">
        <is>
          <t>Baseline_Frame</t>
        </is>
      </c>
      <c r="L3" s="9" t="inlineStr">
        <is>
          <t>Notes</t>
        </is>
      </c>
    </row>
    <row r="4" ht="16" customHeight="1" thickBot="1">
      <c r="A4" s="15" t="inlineStr">
        <is>
          <t>EXAMPLE</t>
        </is>
      </c>
      <c r="B4" s="15" t="n">
        <v>1</v>
      </c>
      <c r="C4" s="15" t="inlineStr">
        <is>
          <t>A</t>
        </is>
      </c>
      <c r="D4" s="15" t="inlineStr">
        <is>
          <t>sample</t>
        </is>
      </c>
      <c r="E4" s="15" t="inlineStr">
        <is>
          <t>STRAIN_1</t>
        </is>
      </c>
      <c r="F4" s="15" t="n">
        <v>1</v>
      </c>
      <c r="G4" s="15" t="inlineStr">
        <is>
          <t>Y</t>
        </is>
      </c>
      <c r="H4" s="15" t="inlineStr">
        <is>
          <t>Xylose</t>
        </is>
      </c>
      <c r="I4" s="15" t="inlineStr">
        <is>
          <t>Ammonium sulfate</t>
        </is>
      </c>
      <c r="J4" s="15" t="inlineStr">
        <is>
          <t>Y</t>
        </is>
      </c>
      <c r="K4" s="15" t="inlineStr">
        <is>
          <t>auto</t>
        </is>
      </c>
      <c r="L4" s="15" t="inlineStr">
        <is>
          <t>example only — loader skips this row</t>
        </is>
      </c>
    </row>
    <row r="5">
      <c r="A5" s="16" t="inlineStr">
        <is>
          <t>A1</t>
        </is>
      </c>
      <c r="B5" s="17" t="n">
        <v>1</v>
      </c>
      <c r="C5" s="17" t="inlineStr">
        <is>
          <t>A</t>
        </is>
      </c>
      <c r="D5" s="22" t="inlineStr">
        <is>
          <t>sample</t>
        </is>
      </c>
      <c r="E5" s="22" t="inlineStr">
        <is>
          <t>NH</t>
        </is>
      </c>
      <c r="F5" s="22" t="n">
        <v>3</v>
      </c>
      <c r="G5" s="22" t="inlineStr">
        <is>
          <t>Y</t>
        </is>
      </c>
      <c r="H5" s="23" t="inlineStr">
        <is>
          <t>Xylose</t>
        </is>
      </c>
      <c r="I5" s="23" t="inlineStr">
        <is>
          <t>Ammonium sulfate</t>
        </is>
      </c>
      <c r="J5" s="22" t="inlineStr">
        <is>
          <t>Y</t>
        </is>
      </c>
      <c r="K5" s="22" t="n"/>
      <c r="L5" s="19" t="n"/>
    </row>
    <row r="6">
      <c r="A6" s="16" t="inlineStr">
        <is>
          <t>B1</t>
        </is>
      </c>
      <c r="B6" s="17" t="n">
        <v>1</v>
      </c>
      <c r="C6" s="17" t="inlineStr">
        <is>
          <t>B</t>
        </is>
      </c>
      <c r="D6" s="11" t="inlineStr">
        <is>
          <t>minus_variable_control</t>
        </is>
      </c>
      <c r="E6" s="11" t="inlineStr">
        <is>
          <t>NH</t>
        </is>
      </c>
      <c r="F6" s="11" t="n"/>
      <c r="G6" s="11" t="inlineStr">
        <is>
          <t>Y</t>
        </is>
      </c>
      <c r="H6" s="18" t="inlineStr">
        <is>
          <t>Xylose</t>
        </is>
      </c>
      <c r="I6" s="18" t="inlineStr">
        <is>
          <t>Ammonium sulfate</t>
        </is>
      </c>
      <c r="J6" s="11" t="inlineStr">
        <is>
          <t>Y</t>
        </is>
      </c>
      <c r="K6" s="11" t="n"/>
      <c r="L6" s="19" t="n"/>
    </row>
    <row r="7">
      <c r="A7" s="16" t="inlineStr">
        <is>
          <t>C1</t>
        </is>
      </c>
      <c r="B7" s="17" t="n">
        <v>1</v>
      </c>
      <c r="C7" s="17" t="inlineStr">
        <is>
          <t>C</t>
        </is>
      </c>
      <c r="D7" s="11" t="inlineStr">
        <is>
          <t>sample</t>
        </is>
      </c>
      <c r="E7" s="11" t="n">
        <v>6205</v>
      </c>
      <c r="F7" s="11" t="n">
        <v>3</v>
      </c>
      <c r="G7" s="11" t="inlineStr">
        <is>
          <t>Y</t>
        </is>
      </c>
      <c r="H7" s="18" t="inlineStr">
        <is>
          <t>Xylose</t>
        </is>
      </c>
      <c r="I7" s="18" t="inlineStr">
        <is>
          <t>Ammonium sulfate</t>
        </is>
      </c>
      <c r="J7" s="11" t="inlineStr">
        <is>
          <t>Y</t>
        </is>
      </c>
      <c r="K7" s="11" t="n"/>
      <c r="L7" s="19" t="n"/>
    </row>
    <row r="8">
      <c r="A8" s="16" t="inlineStr">
        <is>
          <t>D1</t>
        </is>
      </c>
      <c r="B8" s="17" t="n">
        <v>1</v>
      </c>
      <c r="C8" s="17" t="inlineStr">
        <is>
          <t>D</t>
        </is>
      </c>
      <c r="D8" s="11" t="inlineStr">
        <is>
          <t>sample</t>
        </is>
      </c>
      <c r="E8" s="11" t="inlineStr">
        <is>
          <t>B2002</t>
        </is>
      </c>
      <c r="F8" s="11" t="n">
        <v>3</v>
      </c>
      <c r="G8" s="11" t="inlineStr">
        <is>
          <t>Y</t>
        </is>
      </c>
      <c r="H8" s="18" t="inlineStr">
        <is>
          <t>Xylose</t>
        </is>
      </c>
      <c r="I8" s="18" t="inlineStr">
        <is>
          <t>Ammonium sulfate</t>
        </is>
      </c>
      <c r="J8" s="11" t="inlineStr">
        <is>
          <t>Y</t>
        </is>
      </c>
      <c r="K8" s="11" t="n"/>
      <c r="L8" s="19" t="n"/>
    </row>
    <row r="9" ht="16" customHeight="1" thickBot="1">
      <c r="A9" s="16" t="inlineStr">
        <is>
          <t>E1</t>
        </is>
      </c>
      <c r="B9" s="17" t="n">
        <v>1</v>
      </c>
      <c r="C9" s="17" t="inlineStr">
        <is>
          <t>E</t>
        </is>
      </c>
      <c r="D9" s="11" t="inlineStr">
        <is>
          <t>sample</t>
        </is>
      </c>
      <c r="E9" s="11" t="inlineStr">
        <is>
          <t>UM1</t>
        </is>
      </c>
      <c r="F9" s="11" t="n">
        <v>3</v>
      </c>
      <c r="G9" s="11" t="inlineStr">
        <is>
          <t>Y</t>
        </is>
      </c>
      <c r="H9" s="18" t="inlineStr">
        <is>
          <t>Xylose</t>
        </is>
      </c>
      <c r="I9" s="18" t="inlineStr">
        <is>
          <t>Ammonium sulfate</t>
        </is>
      </c>
      <c r="J9" s="11" t="inlineStr">
        <is>
          <t>Y</t>
        </is>
      </c>
      <c r="K9" s="11" t="n"/>
      <c r="L9" s="19" t="n"/>
    </row>
    <row r="10">
      <c r="A10" s="20" t="inlineStr">
        <is>
          <t>A2</t>
        </is>
      </c>
      <c r="B10" s="21" t="n">
        <v>2</v>
      </c>
      <c r="C10" s="21" t="inlineStr">
        <is>
          <t>A</t>
        </is>
      </c>
      <c r="D10" s="22" t="inlineStr">
        <is>
          <t>sample</t>
        </is>
      </c>
      <c r="E10" s="22" t="inlineStr">
        <is>
          <t>UM1</t>
        </is>
      </c>
      <c r="F10" s="22" t="n">
        <v>2</v>
      </c>
      <c r="G10" s="22" t="inlineStr">
        <is>
          <t>Y</t>
        </is>
      </c>
      <c r="H10" s="23" t="inlineStr">
        <is>
          <t>Xylose</t>
        </is>
      </c>
      <c r="I10" s="23" t="inlineStr">
        <is>
          <t>Ammonium sulfate</t>
        </is>
      </c>
      <c r="J10" s="22" t="inlineStr">
        <is>
          <t>Y</t>
        </is>
      </c>
      <c r="K10" s="22" t="n"/>
      <c r="L10" s="24" t="n"/>
    </row>
    <row r="11">
      <c r="A11" s="16" t="inlineStr">
        <is>
          <t>B2</t>
        </is>
      </c>
      <c r="B11" s="17" t="n">
        <v>2</v>
      </c>
      <c r="C11" s="17" t="inlineStr">
        <is>
          <t>B</t>
        </is>
      </c>
      <c r="D11" s="11" t="inlineStr">
        <is>
          <t>sample</t>
        </is>
      </c>
      <c r="E11" s="11" t="inlineStr">
        <is>
          <t>NH</t>
        </is>
      </c>
      <c r="F11" s="11" t="n">
        <v>2</v>
      </c>
      <c r="G11" s="11" t="inlineStr">
        <is>
          <t>Y</t>
        </is>
      </c>
      <c r="H11" s="18" t="inlineStr">
        <is>
          <t>Xylose</t>
        </is>
      </c>
      <c r="I11" s="18" t="inlineStr">
        <is>
          <t>Ammonium sulfate</t>
        </is>
      </c>
      <c r="J11" s="11" t="inlineStr">
        <is>
          <t>Y</t>
        </is>
      </c>
      <c r="K11" s="11" t="n"/>
      <c r="L11" s="19" t="n"/>
    </row>
    <row r="12">
      <c r="A12" s="16" t="inlineStr">
        <is>
          <t>C2</t>
        </is>
      </c>
      <c r="B12" s="17" t="n">
        <v>2</v>
      </c>
      <c r="C12" s="17" t="inlineStr">
        <is>
          <t>C</t>
        </is>
      </c>
      <c r="D12" s="11" t="inlineStr">
        <is>
          <t>water</t>
        </is>
      </c>
      <c r="E12" s="11" t="n"/>
      <c r="F12" s="11" t="n"/>
      <c r="G12" s="11" t="inlineStr">
        <is>
          <t>N</t>
        </is>
      </c>
      <c r="H12" s="18" t="inlineStr">
        <is>
          <t>Xylose</t>
        </is>
      </c>
      <c r="I12" s="18" t="inlineStr">
        <is>
          <t>Ammonium sulfate</t>
        </is>
      </c>
      <c r="J12" s="11" t="inlineStr">
        <is>
          <t>N</t>
        </is>
      </c>
      <c r="K12" s="11" t="n"/>
      <c r="L12" s="19" t="n"/>
    </row>
    <row r="13">
      <c r="A13" s="16" t="inlineStr">
        <is>
          <t>D2</t>
        </is>
      </c>
      <c r="B13" s="17" t="n">
        <v>2</v>
      </c>
      <c r="C13" s="17" t="inlineStr">
        <is>
          <t>D</t>
        </is>
      </c>
      <c r="D13" s="11" t="inlineStr">
        <is>
          <t>sample</t>
        </is>
      </c>
      <c r="E13" s="11" t="n">
        <v>6205</v>
      </c>
      <c r="F13" s="11" t="n">
        <v>2</v>
      </c>
      <c r="G13" s="11" t="inlineStr">
        <is>
          <t>Y</t>
        </is>
      </c>
      <c r="H13" s="18" t="inlineStr">
        <is>
          <t>Xylose</t>
        </is>
      </c>
      <c r="I13" s="18" t="inlineStr">
        <is>
          <t>Ammonium sulfate</t>
        </is>
      </c>
      <c r="J13" s="11" t="inlineStr">
        <is>
          <t>Y</t>
        </is>
      </c>
      <c r="K13" s="11" t="n"/>
      <c r="L13" s="19" t="n"/>
    </row>
    <row r="14" ht="16" customHeight="1" thickBot="1">
      <c r="A14" s="16" t="inlineStr">
        <is>
          <t>E2</t>
        </is>
      </c>
      <c r="B14" s="17" t="n">
        <v>2</v>
      </c>
      <c r="C14" s="17" t="inlineStr">
        <is>
          <t>E</t>
        </is>
      </c>
      <c r="D14" s="11" t="inlineStr">
        <is>
          <t>sample</t>
        </is>
      </c>
      <c r="E14" s="11" t="inlineStr">
        <is>
          <t>B2002</t>
        </is>
      </c>
      <c r="F14" s="11" t="n">
        <v>2</v>
      </c>
      <c r="G14" s="11" t="inlineStr">
        <is>
          <t>Y</t>
        </is>
      </c>
      <c r="H14" s="18" t="inlineStr">
        <is>
          <t>Xylose</t>
        </is>
      </c>
      <c r="I14" s="18" t="inlineStr">
        <is>
          <t>Ammonium sulfate</t>
        </is>
      </c>
      <c r="J14" s="11" t="inlineStr">
        <is>
          <t>Y</t>
        </is>
      </c>
      <c r="K14" s="11" t="n"/>
      <c r="L14" s="19" t="n"/>
    </row>
    <row r="15">
      <c r="A15" s="20" t="inlineStr">
        <is>
          <t>A3</t>
        </is>
      </c>
      <c r="B15" s="21" t="n">
        <v>3</v>
      </c>
      <c r="C15" s="21" t="inlineStr">
        <is>
          <t>A</t>
        </is>
      </c>
      <c r="D15" s="11" t="inlineStr">
        <is>
          <t>sample</t>
        </is>
      </c>
      <c r="E15" s="11" t="inlineStr">
        <is>
          <t>B2002</t>
        </is>
      </c>
      <c r="F15" s="11" t="n">
        <v>1</v>
      </c>
      <c r="G15" s="11" t="inlineStr">
        <is>
          <t>Y</t>
        </is>
      </c>
      <c r="H15" s="18" t="inlineStr">
        <is>
          <t>Xylose</t>
        </is>
      </c>
      <c r="I15" s="18" t="inlineStr">
        <is>
          <t>Ammonium sulfate</t>
        </is>
      </c>
      <c r="J15" s="11" t="inlineStr">
        <is>
          <t>Y</t>
        </is>
      </c>
      <c r="K15" s="11" t="n"/>
      <c r="L15" s="24" t="n"/>
    </row>
    <row r="16">
      <c r="A16" s="16" t="inlineStr">
        <is>
          <t>B3</t>
        </is>
      </c>
      <c r="B16" s="17" t="n">
        <v>3</v>
      </c>
      <c r="C16" s="17" t="inlineStr">
        <is>
          <t>B</t>
        </is>
      </c>
      <c r="D16" s="11" t="inlineStr">
        <is>
          <t>sample</t>
        </is>
      </c>
      <c r="E16" s="11" t="inlineStr">
        <is>
          <t>UM1</t>
        </is>
      </c>
      <c r="F16" s="11" t="n">
        <v>1</v>
      </c>
      <c r="G16" s="11" t="inlineStr">
        <is>
          <t>Y</t>
        </is>
      </c>
      <c r="H16" s="18" t="inlineStr">
        <is>
          <t>Xylose</t>
        </is>
      </c>
      <c r="I16" s="18" t="inlineStr">
        <is>
          <t>Ammonium sulfate</t>
        </is>
      </c>
      <c r="J16" s="11" t="inlineStr">
        <is>
          <t>Y</t>
        </is>
      </c>
      <c r="K16" s="11" t="n"/>
      <c r="L16" s="19" t="n"/>
    </row>
    <row r="17">
      <c r="A17" s="16" t="inlineStr">
        <is>
          <t>C3</t>
        </is>
      </c>
      <c r="B17" s="17" t="n">
        <v>3</v>
      </c>
      <c r="C17" s="17" t="inlineStr">
        <is>
          <t>C</t>
        </is>
      </c>
      <c r="D17" s="11" t="inlineStr">
        <is>
          <t>sample</t>
        </is>
      </c>
      <c r="E17" s="11" t="inlineStr">
        <is>
          <t>NH</t>
        </is>
      </c>
      <c r="F17" s="11" t="n">
        <v>1</v>
      </c>
      <c r="G17" s="11" t="inlineStr">
        <is>
          <t>Y</t>
        </is>
      </c>
      <c r="H17" s="18" t="inlineStr">
        <is>
          <t>Xylose</t>
        </is>
      </c>
      <c r="I17" s="18" t="inlineStr">
        <is>
          <t>Ammonium sulfate</t>
        </is>
      </c>
      <c r="J17" s="11" t="inlineStr">
        <is>
          <t>Y</t>
        </is>
      </c>
      <c r="K17" s="11" t="n"/>
      <c r="L17" s="19" t="n"/>
    </row>
    <row r="18">
      <c r="A18" s="16" t="inlineStr">
        <is>
          <t>D3</t>
        </is>
      </c>
      <c r="B18" s="17" t="n">
        <v>3</v>
      </c>
      <c r="C18" s="17" t="inlineStr">
        <is>
          <t>D</t>
        </is>
      </c>
      <c r="D18" s="11" t="inlineStr">
        <is>
          <t>contamination_control</t>
        </is>
      </c>
      <c r="E18" s="11" t="n"/>
      <c r="F18" s="11" t="n"/>
      <c r="G18" s="11" t="inlineStr">
        <is>
          <t>N</t>
        </is>
      </c>
      <c r="H18" s="18" t="inlineStr">
        <is>
          <t>Xylose</t>
        </is>
      </c>
      <c r="I18" s="18" t="inlineStr">
        <is>
          <t>Ammonium sulfate</t>
        </is>
      </c>
      <c r="J18" s="11" t="inlineStr">
        <is>
          <t>Y</t>
        </is>
      </c>
      <c r="K18" s="11" t="n"/>
      <c r="L18" s="19" t="n"/>
    </row>
    <row r="19">
      <c r="A19" s="16" t="inlineStr">
        <is>
          <t>E3</t>
        </is>
      </c>
      <c r="B19" s="17" t="n">
        <v>3</v>
      </c>
      <c r="C19" s="17" t="inlineStr">
        <is>
          <t>E</t>
        </is>
      </c>
      <c r="D19" s="11" t="inlineStr">
        <is>
          <t>sample</t>
        </is>
      </c>
      <c r="E19" s="11" t="n">
        <v>6205</v>
      </c>
      <c r="F19" s="11" t="n">
        <v>1</v>
      </c>
      <c r="G19" s="11" t="inlineStr">
        <is>
          <t>Y</t>
        </is>
      </c>
      <c r="H19" s="18" t="inlineStr">
        <is>
          <t>Xylose</t>
        </is>
      </c>
      <c r="I19" s="18" t="inlineStr">
        <is>
          <t>Ammonium sulfate</t>
        </is>
      </c>
      <c r="J19" s="11" t="inlineStr">
        <is>
          <t>Y</t>
        </is>
      </c>
      <c r="K19" s="11" t="n"/>
      <c r="L19" s="19" t="n"/>
    </row>
    <row r="21">
      <c r="A21" s="3" t="inlineStr">
        <is>
          <t>Sanity check</t>
        </is>
      </c>
    </row>
    <row r="22">
      <c r="A22" s="25" t="inlineStr">
        <is>
          <t>Rows with a Role filled in (want 15)</t>
        </is>
      </c>
      <c r="D22" s="26">
        <f>COUNTA(D5:D19)</f>
        <v/>
      </c>
    </row>
    <row r="23">
      <c r="A23" s="25" t="inlineStr">
        <is>
          <t>Plates marked 'sample' (want 12)</t>
        </is>
      </c>
      <c r="D23" s="26">
        <f>COUNTIF(D5:D19,"sample")</f>
        <v/>
      </c>
    </row>
    <row r="24">
      <c r="A24" s="25" t="inlineStr">
        <is>
          <t>Plates marked 'water' (want 1)</t>
        </is>
      </c>
      <c r="D24" s="26">
        <f>COUNTIF(D5:D19,"water")</f>
        <v/>
      </c>
    </row>
    <row r="25">
      <c r="A25" s="25" t="inlineStr">
        <is>
          <t>Plates marked 'contamination_control' (want 1)</t>
        </is>
      </c>
      <c r="D25" s="26">
        <f>COUNTIF(D5:D14,"contamination_control")</f>
        <v/>
      </c>
    </row>
    <row r="26">
      <c r="A26" s="25" t="inlineStr">
        <is>
          <t>Plates marked 'minus_variable_control' (want 1)</t>
        </is>
      </c>
      <c r="D26" s="26">
        <f>COUNTIF(D5:D19,"minus_variable_control")</f>
        <v/>
      </c>
    </row>
    <row r="27">
      <c r="A27" s="25" t="inlineStr">
        <is>
          <t>Sample plates with a strain assigned (want 12)</t>
        </is>
      </c>
      <c r="D27" s="26">
        <f t="array" ref="D27">SUMPRODUCT((D5:D19="sample")*(E5:E19&lt;&gt;""))</f>
        <v/>
      </c>
    </row>
    <row r="28">
      <c r="A28" s="25" t="inlineStr">
        <is>
          <t>Sample plates with a replicate number (want 12)</t>
        </is>
      </c>
      <c r="D28" s="26">
        <f t="array" ref="D28">SUMPRODUCT((D5:D19="sample")*(F5:F19&lt;&gt;""))</f>
        <v/>
      </c>
    </row>
    <row r="29">
      <c r="A29" s="25" t="inlineStr">
        <is>
          <t>Duplicate strain+replicate pairs (want 0)</t>
        </is>
      </c>
      <c r="D29" s="26">
        <f t="array" ref="D29"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D9" sqref="D9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33" t="inlineStr">
        <is>
          <t>Plate map — Dextrose AS V4</t>
        </is>
      </c>
    </row>
    <row r="2">
      <c r="A2" s="34" t="inlineStr">
        <is>
          <t>Yellow cells = fill in. Grey cells = fixed, do not edit. Row 4 is a worked EXAMPLE — the loader ignores it.</t>
        </is>
      </c>
    </row>
    <row r="3" ht="28" customHeight="1">
      <c r="A3" s="28" t="inlineStr">
        <is>
          <t>Plate</t>
        </is>
      </c>
      <c r="B3" s="28" t="inlineStr">
        <is>
          <t>Grid_Row</t>
        </is>
      </c>
      <c r="C3" s="28" t="inlineStr">
        <is>
          <t>Grid_Col</t>
        </is>
      </c>
      <c r="D3" s="28" t="inlineStr">
        <is>
          <t>Role</t>
        </is>
      </c>
      <c r="E3" s="28" t="inlineStr">
        <is>
          <t>Strain</t>
        </is>
      </c>
      <c r="F3" s="28" t="inlineStr">
        <is>
          <t>Replicate</t>
        </is>
      </c>
      <c r="G3" s="28" t="inlineStr">
        <is>
          <t>Spores</t>
        </is>
      </c>
      <c r="H3" s="28" t="inlineStr">
        <is>
          <t>Carbon</t>
        </is>
      </c>
      <c r="I3" s="28" t="inlineStr">
        <is>
          <t>Nitrogen</t>
        </is>
      </c>
      <c r="J3" s="28" t="inlineStr">
        <is>
          <t>Include</t>
        </is>
      </c>
      <c r="K3" s="28" t="inlineStr">
        <is>
          <t>Baseline_Frame</t>
        </is>
      </c>
      <c r="L3" s="28" t="inlineStr">
        <is>
          <t>Notes</t>
        </is>
      </c>
    </row>
    <row r="4">
      <c r="A4" s="35" t="inlineStr">
        <is>
          <t>EXAMPLE</t>
        </is>
      </c>
      <c r="B4" s="35" t="n">
        <v>1</v>
      </c>
      <c r="C4" s="35" t="inlineStr">
        <is>
          <t>A</t>
        </is>
      </c>
      <c r="D4" s="35" t="inlineStr">
        <is>
          <t>sample</t>
        </is>
      </c>
      <c r="E4" s="35" t="inlineStr">
        <is>
          <t>STRAIN_1</t>
        </is>
      </c>
      <c r="F4" s="35" t="n">
        <v>1</v>
      </c>
      <c r="G4" s="35" t="inlineStr">
        <is>
          <t>Y</t>
        </is>
      </c>
      <c r="H4" s="35" t="inlineStr">
        <is>
          <t>Dextrose</t>
        </is>
      </c>
      <c r="I4" s="35" t="inlineStr">
        <is>
          <t>Ammonium sulfate</t>
        </is>
      </c>
      <c r="J4" s="35" t="inlineStr">
        <is>
          <t>Y</t>
        </is>
      </c>
      <c r="K4" s="35" t="inlineStr">
        <is>
          <t>auto</t>
        </is>
      </c>
      <c r="L4" s="35" t="inlineStr">
        <is>
          <t>example only — loader skips this row</t>
        </is>
      </c>
    </row>
    <row r="5">
      <c r="A5" s="36" t="inlineStr">
        <is>
          <t>A1</t>
        </is>
      </c>
      <c r="B5" s="37" t="n">
        <v>1</v>
      </c>
      <c r="C5" s="37" t="inlineStr">
        <is>
          <t>A</t>
        </is>
      </c>
      <c r="D5" s="48" t="inlineStr">
        <is>
          <t>sample</t>
        </is>
      </c>
      <c r="E5" s="30" t="inlineStr">
        <is>
          <t>NH</t>
        </is>
      </c>
      <c r="F5" s="30" t="n">
        <v>1</v>
      </c>
      <c r="G5" s="30" t="inlineStr">
        <is>
          <t>Y</t>
        </is>
      </c>
      <c r="H5" s="38" t="inlineStr">
        <is>
          <t>Dextrose</t>
        </is>
      </c>
      <c r="I5" s="38" t="inlineStr">
        <is>
          <t>Ammonium sulfate</t>
        </is>
      </c>
      <c r="J5" s="30" t="inlineStr">
        <is>
          <t>Y</t>
        </is>
      </c>
      <c r="K5" s="30" t="n"/>
      <c r="L5" s="39" t="n"/>
    </row>
    <row r="6">
      <c r="A6" s="36" t="inlineStr">
        <is>
          <t>B1</t>
        </is>
      </c>
      <c r="B6" s="37" t="n">
        <v>1</v>
      </c>
      <c r="C6" s="37" t="inlineStr">
        <is>
          <t>B</t>
        </is>
      </c>
      <c r="D6" s="48" t="inlineStr">
        <is>
          <t>sample</t>
        </is>
      </c>
      <c r="E6" s="30" t="inlineStr">
        <is>
          <t>B2002</t>
        </is>
      </c>
      <c r="F6" s="30" t="n">
        <v>1</v>
      </c>
      <c r="G6" s="30" t="inlineStr">
        <is>
          <t>Y</t>
        </is>
      </c>
      <c r="H6" s="38" t="inlineStr">
        <is>
          <t>Dextrose</t>
        </is>
      </c>
      <c r="I6" s="38" t="inlineStr">
        <is>
          <t>Ammonium sulfate</t>
        </is>
      </c>
      <c r="J6" s="30" t="inlineStr">
        <is>
          <t>Y</t>
        </is>
      </c>
      <c r="K6" s="30" t="n"/>
      <c r="L6" s="39" t="n"/>
    </row>
    <row r="7">
      <c r="A7" s="36" t="inlineStr">
        <is>
          <t>C1</t>
        </is>
      </c>
      <c r="B7" s="37" t="n">
        <v>1</v>
      </c>
      <c r="C7" s="37" t="inlineStr">
        <is>
          <t>C</t>
        </is>
      </c>
      <c r="D7" s="30" t="inlineStr">
        <is>
          <t>sample</t>
        </is>
      </c>
      <c r="E7" s="30" t="inlineStr">
        <is>
          <t>UM1</t>
        </is>
      </c>
      <c r="F7" s="30" t="n">
        <v>1</v>
      </c>
      <c r="G7" s="30" t="inlineStr">
        <is>
          <t>Y</t>
        </is>
      </c>
      <c r="H7" s="38" t="inlineStr">
        <is>
          <t>Dextrose</t>
        </is>
      </c>
      <c r="I7" s="38" t="inlineStr">
        <is>
          <t>Ammonium sulfate</t>
        </is>
      </c>
      <c r="J7" s="30" t="inlineStr">
        <is>
          <t>Y</t>
        </is>
      </c>
      <c r="K7" s="30" t="n"/>
      <c r="L7" s="39" t="n"/>
    </row>
    <row r="8">
      <c r="A8" s="36" t="inlineStr">
        <is>
          <t>D1</t>
        </is>
      </c>
      <c r="B8" s="37" t="n">
        <v>1</v>
      </c>
      <c r="C8" s="37" t="inlineStr">
        <is>
          <t>D</t>
        </is>
      </c>
      <c r="D8" s="30" t="inlineStr">
        <is>
          <t>sample</t>
        </is>
      </c>
      <c r="E8" s="30" t="n">
        <v>6205</v>
      </c>
      <c r="F8" s="30" t="n">
        <v>1</v>
      </c>
      <c r="G8" s="30" t="inlineStr">
        <is>
          <t>Y</t>
        </is>
      </c>
      <c r="H8" s="38" t="inlineStr">
        <is>
          <t>Dextrose</t>
        </is>
      </c>
      <c r="I8" s="38" t="inlineStr">
        <is>
          <t>Ammonium sulfate</t>
        </is>
      </c>
      <c r="J8" s="30" t="inlineStr">
        <is>
          <t>Y</t>
        </is>
      </c>
      <c r="K8" s="30" t="n"/>
      <c r="L8" s="39" t="n"/>
    </row>
    <row r="9">
      <c r="A9" s="36" t="inlineStr">
        <is>
          <t>E1</t>
        </is>
      </c>
      <c r="B9" s="37" t="n">
        <v>1</v>
      </c>
      <c r="C9" s="37" t="inlineStr">
        <is>
          <t>E</t>
        </is>
      </c>
      <c r="D9" s="30" t="inlineStr">
        <is>
          <t>unused</t>
        </is>
      </c>
      <c r="E9" s="30" t="n"/>
      <c r="F9" s="30" t="n"/>
      <c r="G9" s="30" t="n"/>
      <c r="H9" s="38" t="inlineStr">
        <is>
          <t>Dextrose</t>
        </is>
      </c>
      <c r="I9" s="38" t="inlineStr">
        <is>
          <t>Ammonium sulfate</t>
        </is>
      </c>
      <c r="J9" s="30" t="inlineStr">
        <is>
          <t>N</t>
        </is>
      </c>
      <c r="K9" s="30" t="n"/>
      <c r="L9" s="39" t="n"/>
    </row>
    <row r="10">
      <c r="A10" s="40" t="inlineStr">
        <is>
          <t>A2</t>
        </is>
      </c>
      <c r="B10" s="41" t="n">
        <v>2</v>
      </c>
      <c r="C10" s="41" t="inlineStr">
        <is>
          <t>A</t>
        </is>
      </c>
      <c r="D10" s="42" t="inlineStr">
        <is>
          <t>sample</t>
        </is>
      </c>
      <c r="E10" s="42" t="inlineStr">
        <is>
          <t>UM1</t>
        </is>
      </c>
      <c r="F10" s="42" t="n">
        <v>2</v>
      </c>
      <c r="G10" s="42" t="inlineStr">
        <is>
          <t>Y</t>
        </is>
      </c>
      <c r="H10" s="43" t="inlineStr">
        <is>
          <t>Dextrose</t>
        </is>
      </c>
      <c r="I10" s="43" t="inlineStr">
        <is>
          <t>Ammonium sulfate</t>
        </is>
      </c>
      <c r="J10" s="42" t="inlineStr">
        <is>
          <t>Y</t>
        </is>
      </c>
      <c r="K10" s="42" t="n"/>
      <c r="L10" s="44" t="n"/>
    </row>
    <row r="11">
      <c r="A11" s="36" t="inlineStr">
        <is>
          <t>B2</t>
        </is>
      </c>
      <c r="B11" s="37" t="n">
        <v>2</v>
      </c>
      <c r="C11" s="37" t="inlineStr">
        <is>
          <t>B</t>
        </is>
      </c>
      <c r="D11" s="30" t="inlineStr">
        <is>
          <t>sample</t>
        </is>
      </c>
      <c r="E11" s="30" t="inlineStr">
        <is>
          <t>UM1</t>
        </is>
      </c>
      <c r="F11" s="30" t="n">
        <v>3</v>
      </c>
      <c r="G11" s="30" t="inlineStr">
        <is>
          <t>Y</t>
        </is>
      </c>
      <c r="H11" s="38" t="inlineStr">
        <is>
          <t>Dextrose</t>
        </is>
      </c>
      <c r="I11" s="38" t="inlineStr">
        <is>
          <t>Ammonium sulfate</t>
        </is>
      </c>
      <c r="J11" s="30" t="inlineStr">
        <is>
          <t>Y</t>
        </is>
      </c>
      <c r="K11" s="30" t="n"/>
      <c r="L11" s="39" t="n"/>
    </row>
    <row r="12">
      <c r="A12" s="36" t="inlineStr">
        <is>
          <t>C2</t>
        </is>
      </c>
      <c r="B12" s="37" t="n">
        <v>2</v>
      </c>
      <c r="C12" s="37" t="inlineStr">
        <is>
          <t>C</t>
        </is>
      </c>
      <c r="D12" s="30" t="inlineStr">
        <is>
          <t>water</t>
        </is>
      </c>
      <c r="E12" s="30" t="n"/>
      <c r="F12" s="30" t="n"/>
      <c r="G12" s="30" t="inlineStr">
        <is>
          <t>N</t>
        </is>
      </c>
      <c r="H12" s="38" t="inlineStr">
        <is>
          <t>Dextrose</t>
        </is>
      </c>
      <c r="I12" s="38" t="inlineStr">
        <is>
          <t>Ammonium sulfate</t>
        </is>
      </c>
      <c r="J12" s="30" t="inlineStr">
        <is>
          <t>N</t>
        </is>
      </c>
      <c r="K12" s="30" t="n"/>
      <c r="L12" s="39" t="n"/>
    </row>
    <row r="13">
      <c r="A13" s="36" t="inlineStr">
        <is>
          <t>D2</t>
        </is>
      </c>
      <c r="B13" s="37" t="n">
        <v>2</v>
      </c>
      <c r="C13" s="37" t="inlineStr">
        <is>
          <t>D</t>
        </is>
      </c>
      <c r="D13" s="30" t="inlineStr">
        <is>
          <t>sample</t>
        </is>
      </c>
      <c r="E13" s="48" t="inlineStr">
        <is>
          <t>B2002</t>
        </is>
      </c>
      <c r="F13" s="30" t="n">
        <v>2</v>
      </c>
      <c r="G13" s="30" t="inlineStr">
        <is>
          <t>Y</t>
        </is>
      </c>
      <c r="H13" s="38" t="inlineStr">
        <is>
          <t>Dextrose</t>
        </is>
      </c>
      <c r="I13" s="38" t="inlineStr">
        <is>
          <t>Ammonium sulfate</t>
        </is>
      </c>
      <c r="J13" s="30" t="inlineStr">
        <is>
          <t>Y</t>
        </is>
      </c>
      <c r="K13" s="30" t="n"/>
      <c r="L13" s="39" t="n"/>
    </row>
    <row r="14">
      <c r="A14" s="36" t="inlineStr">
        <is>
          <t>E2</t>
        </is>
      </c>
      <c r="B14" s="37" t="n">
        <v>2</v>
      </c>
      <c r="C14" s="37" t="inlineStr">
        <is>
          <t>E</t>
        </is>
      </c>
      <c r="D14" s="30" t="inlineStr">
        <is>
          <t>sample</t>
        </is>
      </c>
      <c r="E14" s="30" t="n">
        <v>6205</v>
      </c>
      <c r="F14" s="30" t="n">
        <v>2</v>
      </c>
      <c r="G14" s="30" t="inlineStr">
        <is>
          <t>Y</t>
        </is>
      </c>
      <c r="H14" s="38" t="inlineStr">
        <is>
          <t>Dextrose</t>
        </is>
      </c>
      <c r="I14" s="38" t="inlineStr">
        <is>
          <t>Ammonium sulfate</t>
        </is>
      </c>
      <c r="J14" s="30" t="inlineStr">
        <is>
          <t>Y</t>
        </is>
      </c>
      <c r="K14" s="30" t="n"/>
      <c r="L14" s="39" t="n"/>
    </row>
    <row r="15">
      <c r="A15" s="40" t="inlineStr">
        <is>
          <t>A3</t>
        </is>
      </c>
      <c r="B15" s="41" t="n">
        <v>3</v>
      </c>
      <c r="C15" s="41" t="inlineStr">
        <is>
          <t>A</t>
        </is>
      </c>
      <c r="D15" s="42" t="inlineStr">
        <is>
          <t>sample</t>
        </is>
      </c>
      <c r="E15" s="42" t="inlineStr">
        <is>
          <t>NH</t>
        </is>
      </c>
      <c r="F15" s="42" t="n">
        <v>2</v>
      </c>
      <c r="G15" s="42" t="inlineStr">
        <is>
          <t>Y</t>
        </is>
      </c>
      <c r="H15" s="43" t="inlineStr">
        <is>
          <t>Dextrose</t>
        </is>
      </c>
      <c r="I15" s="43" t="inlineStr">
        <is>
          <t>Ammonium sulfate</t>
        </is>
      </c>
      <c r="J15" s="42" t="inlineStr">
        <is>
          <t>Y</t>
        </is>
      </c>
      <c r="K15" s="42" t="n"/>
      <c r="L15" s="44" t="n"/>
    </row>
    <row r="16">
      <c r="A16" s="36" t="inlineStr">
        <is>
          <t>B3</t>
        </is>
      </c>
      <c r="B16" s="37" t="n">
        <v>3</v>
      </c>
      <c r="C16" s="37" t="inlineStr">
        <is>
          <t>B</t>
        </is>
      </c>
      <c r="D16" s="30" t="inlineStr">
        <is>
          <t>minus_variable_control</t>
        </is>
      </c>
      <c r="E16" s="30" t="inlineStr">
        <is>
          <t>NH</t>
        </is>
      </c>
      <c r="F16" s="30" t="n"/>
      <c r="G16" s="30" t="inlineStr">
        <is>
          <t>Y</t>
        </is>
      </c>
      <c r="H16" s="38" t="inlineStr">
        <is>
          <t>Dextrose</t>
        </is>
      </c>
      <c r="I16" s="38" t="inlineStr">
        <is>
          <t>Ammonium sulfate</t>
        </is>
      </c>
      <c r="J16" s="30" t="inlineStr">
        <is>
          <t>Y</t>
        </is>
      </c>
      <c r="K16" s="30" t="n"/>
      <c r="L16" s="39" t="n"/>
    </row>
    <row r="17">
      <c r="A17" s="36" t="inlineStr">
        <is>
          <t>C3</t>
        </is>
      </c>
      <c r="B17" s="37" t="n">
        <v>3</v>
      </c>
      <c r="C17" s="37" t="inlineStr">
        <is>
          <t>C</t>
        </is>
      </c>
      <c r="D17" s="30" t="inlineStr">
        <is>
          <t>sample</t>
        </is>
      </c>
      <c r="E17" s="30" t="inlineStr">
        <is>
          <t>B2002</t>
        </is>
      </c>
      <c r="F17" s="30" t="n">
        <v>3</v>
      </c>
      <c r="G17" s="30" t="inlineStr">
        <is>
          <t>Y</t>
        </is>
      </c>
      <c r="H17" s="38" t="inlineStr">
        <is>
          <t>Dextrose</t>
        </is>
      </c>
      <c r="I17" s="38" t="inlineStr">
        <is>
          <t>Ammonium sulfate</t>
        </is>
      </c>
      <c r="J17" s="30" t="inlineStr">
        <is>
          <t>Y</t>
        </is>
      </c>
      <c r="K17" s="30" t="n"/>
      <c r="L17" s="39" t="n"/>
    </row>
    <row r="18">
      <c r="A18" s="36" t="inlineStr">
        <is>
          <t>D3</t>
        </is>
      </c>
      <c r="B18" s="37" t="n">
        <v>3</v>
      </c>
      <c r="C18" s="37" t="inlineStr">
        <is>
          <t>D</t>
        </is>
      </c>
      <c r="D18" s="30" t="inlineStr">
        <is>
          <t>sample</t>
        </is>
      </c>
      <c r="E18" s="30" t="inlineStr">
        <is>
          <t>NH</t>
        </is>
      </c>
      <c r="F18" s="30" t="n">
        <v>3</v>
      </c>
      <c r="G18" s="30" t="inlineStr">
        <is>
          <t>Y</t>
        </is>
      </c>
      <c r="H18" s="38" t="inlineStr">
        <is>
          <t>Dextrose</t>
        </is>
      </c>
      <c r="I18" s="38" t="inlineStr">
        <is>
          <t>Ammonium sulfate</t>
        </is>
      </c>
      <c r="J18" s="30" t="inlineStr">
        <is>
          <t>Y</t>
        </is>
      </c>
      <c r="K18" s="30" t="n"/>
      <c r="L18" s="39" t="n"/>
    </row>
    <row r="19">
      <c r="A19" s="36" t="inlineStr">
        <is>
          <t>E3</t>
        </is>
      </c>
      <c r="B19" s="37" t="n">
        <v>3</v>
      </c>
      <c r="C19" s="37" t="inlineStr">
        <is>
          <t>E</t>
        </is>
      </c>
      <c r="D19" s="30" t="inlineStr">
        <is>
          <t>sample</t>
        </is>
      </c>
      <c r="E19" s="30" t="n">
        <v>6205</v>
      </c>
      <c r="F19" s="30" t="n">
        <v>3</v>
      </c>
      <c r="G19" s="30" t="inlineStr">
        <is>
          <t>Y</t>
        </is>
      </c>
      <c r="H19" s="38" t="inlineStr">
        <is>
          <t>Dextrose</t>
        </is>
      </c>
      <c r="I19" s="38" t="inlineStr">
        <is>
          <t>Ammonium sulfate</t>
        </is>
      </c>
      <c r="J19" s="30" t="inlineStr">
        <is>
          <t>Y</t>
        </is>
      </c>
      <c r="K19" s="30" t="n"/>
      <c r="L19" s="39" t="n"/>
    </row>
    <row r="21">
      <c r="A21" s="45" t="inlineStr">
        <is>
          <t>Sanity check</t>
        </is>
      </c>
    </row>
    <row r="22">
      <c r="A22" s="46" t="inlineStr">
        <is>
          <t>Rows with a Role filled in (want 15)</t>
        </is>
      </c>
      <c r="D22" s="47">
        <f>COUNTA(D5:D19)</f>
        <v/>
      </c>
    </row>
    <row r="23">
      <c r="A23" s="46" t="inlineStr">
        <is>
          <t>Plates marked 'sample' (want 12)</t>
        </is>
      </c>
      <c r="D23" s="47">
        <f>COUNTIF(D5:D19,"sample")</f>
        <v/>
      </c>
    </row>
    <row r="24">
      <c r="A24" s="46" t="inlineStr">
        <is>
          <t>Plates marked 'water' (want 1)</t>
        </is>
      </c>
      <c r="D24" s="47">
        <f>COUNTIF(D5:D19,"water")</f>
        <v/>
      </c>
    </row>
    <row r="25">
      <c r="A25" s="46" t="inlineStr">
        <is>
          <t>Plates marked 'contamination_control' (want 1)</t>
        </is>
      </c>
      <c r="D25" s="47">
        <f>COUNTIF(D5:D19,"contamination_control")</f>
        <v/>
      </c>
    </row>
    <row r="26">
      <c r="A26" s="46" t="inlineStr">
        <is>
          <t>Plates marked 'minus_variable_control' (want 1)</t>
        </is>
      </c>
      <c r="D26" s="47">
        <f>COUNTIF(D5:D19,"minus_variable_control")</f>
        <v/>
      </c>
    </row>
    <row r="27">
      <c r="A27" s="46" t="inlineStr">
        <is>
          <t>Sample plates with a strain assigned (want 12)</t>
        </is>
      </c>
      <c r="D27" s="47">
        <f>SUMPRODUCT((D5:D19="sample")*(E5:E19&lt;&gt;""))</f>
        <v/>
      </c>
    </row>
    <row r="28">
      <c r="A28" s="46" t="inlineStr">
        <is>
          <t>Sample plates with a replicate number (want 12)</t>
        </is>
      </c>
      <c r="D28" s="47">
        <f>SUMPRODUCT((D5:D19="sample")*(F5:F19&lt;&gt;""))</f>
        <v/>
      </c>
    </row>
    <row r="29">
      <c r="A29" s="46" t="inlineStr">
        <is>
          <t>Duplicate strain+replicate pairs (want 0)</t>
        </is>
      </c>
      <c r="D29" s="47">
        <f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9"/>
  <sheetViews>
    <sheetView topLeftCell="D1" workbookViewId="0">
      <pane ySplit="4" topLeftCell="A5" activePane="bottomLeft" state="frozen"/>
      <selection pane="bottomLeft" activeCell="J13" sqref="J13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33" t="inlineStr">
        <is>
          <t>Plate map — Dextrose Ammonium Sulfate Agarose Part 2 (power issue)</t>
        </is>
      </c>
    </row>
    <row r="2">
      <c r="A2" s="34" t="inlineStr">
        <is>
          <t>Yellow cells = fill in. Grey cells = fixed, do not edit. Row 4 is a worked EXAMPLE — the loader ignores it.</t>
        </is>
      </c>
    </row>
    <row r="3" ht="28" customHeight="1">
      <c r="A3" s="28" t="inlineStr">
        <is>
          <t>Plate</t>
        </is>
      </c>
      <c r="B3" s="28" t="inlineStr">
        <is>
          <t>Grid_Row</t>
        </is>
      </c>
      <c r="C3" s="28" t="inlineStr">
        <is>
          <t>Grid_Col</t>
        </is>
      </c>
      <c r="D3" s="28" t="inlineStr">
        <is>
          <t>Role</t>
        </is>
      </c>
      <c r="E3" s="28" t="inlineStr">
        <is>
          <t>Strain</t>
        </is>
      </c>
      <c r="F3" s="28" t="inlineStr">
        <is>
          <t>Replicate</t>
        </is>
      </c>
      <c r="G3" s="28" t="inlineStr">
        <is>
          <t>Spores</t>
        </is>
      </c>
      <c r="H3" s="28" t="inlineStr">
        <is>
          <t>Carbon</t>
        </is>
      </c>
      <c r="I3" s="28" t="inlineStr">
        <is>
          <t>Nitrogen</t>
        </is>
      </c>
      <c r="J3" s="28" t="inlineStr">
        <is>
          <t>Include</t>
        </is>
      </c>
      <c r="K3" s="28" t="inlineStr">
        <is>
          <t>Baseline_Frame</t>
        </is>
      </c>
      <c r="L3" s="28" t="inlineStr">
        <is>
          <t>Notes</t>
        </is>
      </c>
    </row>
    <row r="4">
      <c r="A4" s="35" t="inlineStr">
        <is>
          <t>EXAMPLE</t>
        </is>
      </c>
      <c r="B4" s="35" t="n">
        <v>1</v>
      </c>
      <c r="C4" s="35" t="inlineStr">
        <is>
          <t>A</t>
        </is>
      </c>
      <c r="D4" s="35" t="inlineStr">
        <is>
          <t>sample</t>
        </is>
      </c>
      <c r="E4" s="35" t="inlineStr">
        <is>
          <t>STRAIN_1</t>
        </is>
      </c>
      <c r="F4" s="35" t="n">
        <v>1</v>
      </c>
      <c r="G4" s="35" t="inlineStr">
        <is>
          <t>Y</t>
        </is>
      </c>
      <c r="H4" s="35" t="inlineStr">
        <is>
          <t>Dextrose</t>
        </is>
      </c>
      <c r="I4" s="35" t="inlineStr">
        <is>
          <t>Ammonium sulfate</t>
        </is>
      </c>
      <c r="J4" s="35" t="inlineStr">
        <is>
          <t>Y</t>
        </is>
      </c>
      <c r="K4" s="35" t="inlineStr">
        <is>
          <t>auto</t>
        </is>
      </c>
      <c r="L4" s="35" t="inlineStr">
        <is>
          <t>example only — loader skips this row</t>
        </is>
      </c>
    </row>
    <row r="5">
      <c r="A5" s="36" t="inlineStr">
        <is>
          <t>A1</t>
        </is>
      </c>
      <c r="B5" s="37" t="n">
        <v>1</v>
      </c>
      <c r="C5" s="37" t="inlineStr">
        <is>
          <t>A</t>
        </is>
      </c>
      <c r="D5" s="30" t="inlineStr">
        <is>
          <t>contamination_control</t>
        </is>
      </c>
      <c r="E5" s="30" t="n"/>
      <c r="F5" s="30" t="n"/>
      <c r="G5" s="48" t="inlineStr">
        <is>
          <t>N</t>
        </is>
      </c>
      <c r="H5" s="38" t="inlineStr">
        <is>
          <t>Dextrose</t>
        </is>
      </c>
      <c r="I5" s="38" t="inlineStr">
        <is>
          <t>Ammonium sulfate</t>
        </is>
      </c>
      <c r="J5" s="30" t="inlineStr">
        <is>
          <t>Y</t>
        </is>
      </c>
      <c r="K5" s="30" t="n"/>
      <c r="L5" s="39" t="n"/>
    </row>
    <row r="6">
      <c r="A6" s="36" t="inlineStr">
        <is>
          <t>B1</t>
        </is>
      </c>
      <c r="B6" s="37" t="n">
        <v>1</v>
      </c>
      <c r="C6" s="37" t="inlineStr">
        <is>
          <t>B</t>
        </is>
      </c>
      <c r="D6" s="30" t="inlineStr">
        <is>
          <t>sample</t>
        </is>
      </c>
      <c r="E6" s="30" t="inlineStr">
        <is>
          <t>NH</t>
        </is>
      </c>
      <c r="F6" s="30" t="n">
        <v>1</v>
      </c>
      <c r="G6" s="30" t="inlineStr">
        <is>
          <t>Y</t>
        </is>
      </c>
      <c r="H6" s="38" t="inlineStr">
        <is>
          <t>Dextrose</t>
        </is>
      </c>
      <c r="I6" s="38" t="inlineStr">
        <is>
          <t>Ammonium sulfate</t>
        </is>
      </c>
      <c r="J6" s="30" t="inlineStr">
        <is>
          <t>Y</t>
        </is>
      </c>
      <c r="K6" s="30" t="n"/>
      <c r="L6" s="39" t="n"/>
    </row>
    <row r="7">
      <c r="A7" s="36" t="inlineStr">
        <is>
          <t>C1</t>
        </is>
      </c>
      <c r="B7" s="37" t="n">
        <v>1</v>
      </c>
      <c r="C7" s="37" t="inlineStr">
        <is>
          <t>C</t>
        </is>
      </c>
      <c r="D7" s="30" t="inlineStr">
        <is>
          <t>sample</t>
        </is>
      </c>
      <c r="E7" s="30" t="inlineStr">
        <is>
          <t>B2002</t>
        </is>
      </c>
      <c r="F7" s="30" t="n">
        <v>1</v>
      </c>
      <c r="G7" s="30" t="inlineStr">
        <is>
          <t>Y</t>
        </is>
      </c>
      <c r="H7" s="38" t="inlineStr">
        <is>
          <t>Dextrose</t>
        </is>
      </c>
      <c r="I7" s="38" t="inlineStr">
        <is>
          <t>Ammonium sulfate</t>
        </is>
      </c>
      <c r="J7" s="30" t="inlineStr">
        <is>
          <t>Y</t>
        </is>
      </c>
      <c r="K7" s="30" t="n"/>
      <c r="L7" s="39" t="n"/>
    </row>
    <row r="8">
      <c r="A8" s="36" t="inlineStr">
        <is>
          <t>D1</t>
        </is>
      </c>
      <c r="B8" s="37" t="n">
        <v>1</v>
      </c>
      <c r="C8" s="37" t="inlineStr">
        <is>
          <t>D</t>
        </is>
      </c>
      <c r="D8" s="30" t="inlineStr">
        <is>
          <t>sample</t>
        </is>
      </c>
      <c r="E8" s="30" t="n">
        <v>6205</v>
      </c>
      <c r="F8" s="30" t="n">
        <v>1</v>
      </c>
      <c r="G8" s="30" t="inlineStr">
        <is>
          <t>Y</t>
        </is>
      </c>
      <c r="H8" s="38" t="inlineStr">
        <is>
          <t>Dextrose</t>
        </is>
      </c>
      <c r="I8" s="38" t="inlineStr">
        <is>
          <t>Ammonium sulfate</t>
        </is>
      </c>
      <c r="J8" s="30" t="inlineStr">
        <is>
          <t>Y</t>
        </is>
      </c>
      <c r="K8" s="30" t="n"/>
      <c r="L8" s="39" t="n"/>
    </row>
    <row r="9">
      <c r="A9" s="36" t="inlineStr">
        <is>
          <t>E1</t>
        </is>
      </c>
      <c r="B9" s="37" t="n">
        <v>1</v>
      </c>
      <c r="C9" s="37" t="inlineStr">
        <is>
          <t>E</t>
        </is>
      </c>
      <c r="D9" s="30" t="inlineStr">
        <is>
          <t>sample</t>
        </is>
      </c>
      <c r="E9" s="30" t="inlineStr">
        <is>
          <t>B2002</t>
        </is>
      </c>
      <c r="F9" s="30" t="n">
        <v>2</v>
      </c>
      <c r="G9" s="30" t="inlineStr">
        <is>
          <t>Y</t>
        </is>
      </c>
      <c r="H9" s="38" t="inlineStr">
        <is>
          <t>Dextrose</t>
        </is>
      </c>
      <c r="I9" s="38" t="inlineStr">
        <is>
          <t>Ammonium sulfate</t>
        </is>
      </c>
      <c r="J9" s="30" t="inlineStr">
        <is>
          <t>Y</t>
        </is>
      </c>
      <c r="K9" s="30" t="n"/>
      <c r="L9" s="39" t="n"/>
    </row>
    <row r="10">
      <c r="A10" s="40" t="inlineStr">
        <is>
          <t>A2</t>
        </is>
      </c>
      <c r="B10" s="41" t="n">
        <v>2</v>
      </c>
      <c r="C10" s="41" t="inlineStr">
        <is>
          <t>A</t>
        </is>
      </c>
      <c r="D10" s="42" t="inlineStr">
        <is>
          <t>sample</t>
        </is>
      </c>
      <c r="E10" s="42" t="inlineStr">
        <is>
          <t>UM1</t>
        </is>
      </c>
      <c r="F10" s="42" t="n">
        <v>1</v>
      </c>
      <c r="G10" s="42" t="inlineStr">
        <is>
          <t>Y</t>
        </is>
      </c>
      <c r="H10" s="43" t="inlineStr">
        <is>
          <t>Dextrose</t>
        </is>
      </c>
      <c r="I10" s="43" t="inlineStr">
        <is>
          <t>Ammonium sulfate</t>
        </is>
      </c>
      <c r="J10" s="42" t="inlineStr">
        <is>
          <t>Y</t>
        </is>
      </c>
      <c r="K10" s="42" t="n"/>
      <c r="L10" s="44" t="n"/>
    </row>
    <row r="11">
      <c r="A11" s="36" t="inlineStr">
        <is>
          <t>B2</t>
        </is>
      </c>
      <c r="B11" s="37" t="n">
        <v>2</v>
      </c>
      <c r="C11" s="37" t="inlineStr">
        <is>
          <t>B</t>
        </is>
      </c>
      <c r="D11" s="30" t="inlineStr">
        <is>
          <t>sample</t>
        </is>
      </c>
      <c r="E11" s="30" t="n">
        <v>6205</v>
      </c>
      <c r="F11" s="30" t="n">
        <v>2</v>
      </c>
      <c r="G11" s="30" t="inlineStr">
        <is>
          <t>Y</t>
        </is>
      </c>
      <c r="H11" s="38" t="inlineStr">
        <is>
          <t>Dextrose</t>
        </is>
      </c>
      <c r="I11" s="38" t="inlineStr">
        <is>
          <t>Ammonium sulfate</t>
        </is>
      </c>
      <c r="J11" s="30" t="inlineStr">
        <is>
          <t>Y</t>
        </is>
      </c>
      <c r="K11" s="30" t="n"/>
      <c r="L11" s="39" t="n"/>
    </row>
    <row r="12">
      <c r="A12" s="36" t="inlineStr">
        <is>
          <t>C2</t>
        </is>
      </c>
      <c r="B12" s="37" t="n">
        <v>2</v>
      </c>
      <c r="C12" s="37" t="inlineStr">
        <is>
          <t>C</t>
        </is>
      </c>
      <c r="D12" s="30" t="inlineStr">
        <is>
          <t>water</t>
        </is>
      </c>
      <c r="E12" s="30" t="n"/>
      <c r="F12" s="30" t="n"/>
      <c r="G12" s="30" t="inlineStr">
        <is>
          <t>N</t>
        </is>
      </c>
      <c r="H12" s="38" t="inlineStr">
        <is>
          <t>Dextrose</t>
        </is>
      </c>
      <c r="I12" s="38" t="inlineStr">
        <is>
          <t>Ammonium sulfate</t>
        </is>
      </c>
      <c r="J12" s="30" t="inlineStr">
        <is>
          <t>N</t>
        </is>
      </c>
      <c r="K12" s="30" t="n"/>
      <c r="L12" s="39" t="n"/>
    </row>
    <row r="13">
      <c r="A13" s="36" t="inlineStr">
        <is>
          <t>D2</t>
        </is>
      </c>
      <c r="B13" s="37" t="n">
        <v>2</v>
      </c>
      <c r="C13" s="37" t="inlineStr">
        <is>
          <t>D</t>
        </is>
      </c>
      <c r="D13" s="30" t="inlineStr">
        <is>
          <t>minus_variable_control</t>
        </is>
      </c>
      <c r="E13" s="30" t="n">
        <v>6205</v>
      </c>
      <c r="F13" s="30" t="n"/>
      <c r="G13" s="30" t="inlineStr">
        <is>
          <t>Y</t>
        </is>
      </c>
      <c r="H13" s="38" t="inlineStr">
        <is>
          <t>Dextrose</t>
        </is>
      </c>
      <c r="I13" s="38" t="inlineStr">
        <is>
          <t>Ammonium sulfate</t>
        </is>
      </c>
      <c r="J13" s="30" t="inlineStr">
        <is>
          <t>Y</t>
        </is>
      </c>
      <c r="K13" s="30" t="n"/>
      <c r="L13" s="39" t="n"/>
    </row>
    <row r="14">
      <c r="A14" s="36" t="inlineStr">
        <is>
          <t>E2</t>
        </is>
      </c>
      <c r="B14" s="37" t="n">
        <v>2</v>
      </c>
      <c r="C14" s="37" t="inlineStr">
        <is>
          <t>E</t>
        </is>
      </c>
      <c r="D14" s="30" t="inlineStr">
        <is>
          <t>sample</t>
        </is>
      </c>
      <c r="E14" s="30" t="inlineStr">
        <is>
          <t>NH</t>
        </is>
      </c>
      <c r="F14" s="30" t="n">
        <v>2</v>
      </c>
      <c r="G14" s="30" t="inlineStr">
        <is>
          <t>Y</t>
        </is>
      </c>
      <c r="H14" s="38" t="inlineStr">
        <is>
          <t>Dextrose</t>
        </is>
      </c>
      <c r="I14" s="38" t="inlineStr">
        <is>
          <t>Ammonium sulfate</t>
        </is>
      </c>
      <c r="J14" s="30" t="inlineStr">
        <is>
          <t>Y</t>
        </is>
      </c>
      <c r="K14" s="30" t="n"/>
      <c r="L14" s="39" t="n"/>
    </row>
    <row r="15">
      <c r="A15" s="40" t="inlineStr">
        <is>
          <t>A3</t>
        </is>
      </c>
      <c r="B15" s="41" t="n">
        <v>3</v>
      </c>
      <c r="C15" s="41" t="inlineStr">
        <is>
          <t>A</t>
        </is>
      </c>
      <c r="D15" s="42" t="inlineStr">
        <is>
          <t>sample</t>
        </is>
      </c>
      <c r="E15" s="42" t="inlineStr">
        <is>
          <t>B2002</t>
        </is>
      </c>
      <c r="F15" s="42" t="n">
        <v>3</v>
      </c>
      <c r="G15" s="42" t="inlineStr">
        <is>
          <t>Y</t>
        </is>
      </c>
      <c r="H15" s="43" t="inlineStr">
        <is>
          <t>Dextrose</t>
        </is>
      </c>
      <c r="I15" s="43" t="inlineStr">
        <is>
          <t>Ammonium sulfate</t>
        </is>
      </c>
      <c r="J15" s="42" t="inlineStr">
        <is>
          <t>Y</t>
        </is>
      </c>
      <c r="K15" s="42" t="n"/>
      <c r="L15" s="44" t="n"/>
    </row>
    <row r="16">
      <c r="A16" s="36" t="inlineStr">
        <is>
          <t>B3</t>
        </is>
      </c>
      <c r="B16" s="37" t="n">
        <v>3</v>
      </c>
      <c r="C16" s="37" t="inlineStr">
        <is>
          <t>B</t>
        </is>
      </c>
      <c r="D16" s="30" t="inlineStr">
        <is>
          <t>sample</t>
        </is>
      </c>
      <c r="E16" s="30" t="inlineStr">
        <is>
          <t>UM1</t>
        </is>
      </c>
      <c r="F16" s="30" t="n">
        <v>2</v>
      </c>
      <c r="G16" s="30" t="inlineStr">
        <is>
          <t>Y</t>
        </is>
      </c>
      <c r="H16" s="38" t="inlineStr">
        <is>
          <t>Dextrose</t>
        </is>
      </c>
      <c r="I16" s="38" t="inlineStr">
        <is>
          <t>Ammonium sulfate</t>
        </is>
      </c>
      <c r="J16" s="30" t="inlineStr">
        <is>
          <t>Y</t>
        </is>
      </c>
      <c r="K16" s="30" t="n"/>
      <c r="L16" s="39" t="n"/>
    </row>
    <row r="17">
      <c r="A17" s="36" t="inlineStr">
        <is>
          <t>C3</t>
        </is>
      </c>
      <c r="B17" s="37" t="n">
        <v>3</v>
      </c>
      <c r="C17" s="37" t="inlineStr">
        <is>
          <t>C</t>
        </is>
      </c>
      <c r="D17" s="30" t="inlineStr">
        <is>
          <t>sample</t>
        </is>
      </c>
      <c r="E17" s="30" t="inlineStr">
        <is>
          <t>NH</t>
        </is>
      </c>
      <c r="F17" s="30" t="n">
        <v>3</v>
      </c>
      <c r="G17" s="30" t="inlineStr">
        <is>
          <t>Y</t>
        </is>
      </c>
      <c r="H17" s="38" t="inlineStr">
        <is>
          <t>Dextrose</t>
        </is>
      </c>
      <c r="I17" s="38" t="inlineStr">
        <is>
          <t>Ammonium sulfate</t>
        </is>
      </c>
      <c r="J17" s="30" t="inlineStr">
        <is>
          <t>Y</t>
        </is>
      </c>
      <c r="K17" s="30" t="n"/>
      <c r="L17" s="39" t="n"/>
    </row>
    <row r="18">
      <c r="A18" s="36" t="inlineStr">
        <is>
          <t>D3</t>
        </is>
      </c>
      <c r="B18" s="37" t="n">
        <v>3</v>
      </c>
      <c r="C18" s="37" t="inlineStr">
        <is>
          <t>D</t>
        </is>
      </c>
      <c r="D18" s="30" t="inlineStr">
        <is>
          <t>sample</t>
        </is>
      </c>
      <c r="E18" s="30" t="inlineStr">
        <is>
          <t>UM1</t>
        </is>
      </c>
      <c r="F18" s="30" t="n">
        <v>3</v>
      </c>
      <c r="G18" s="30" t="inlineStr">
        <is>
          <t>Y</t>
        </is>
      </c>
      <c r="H18" s="38" t="inlineStr">
        <is>
          <t>Dextrose</t>
        </is>
      </c>
      <c r="I18" s="38" t="inlineStr">
        <is>
          <t>Ammonium sulfate</t>
        </is>
      </c>
      <c r="J18" s="30" t="inlineStr">
        <is>
          <t>Y</t>
        </is>
      </c>
      <c r="K18" s="30" t="n"/>
      <c r="L18" s="39" t="n"/>
    </row>
    <row r="19">
      <c r="A19" s="36" t="inlineStr">
        <is>
          <t>E3</t>
        </is>
      </c>
      <c r="B19" s="37" t="n">
        <v>3</v>
      </c>
      <c r="C19" s="37" t="inlineStr">
        <is>
          <t>E</t>
        </is>
      </c>
      <c r="D19" s="30" t="inlineStr">
        <is>
          <t>sample</t>
        </is>
      </c>
      <c r="E19" s="30" t="n">
        <v>6205</v>
      </c>
      <c r="F19" s="30" t="n">
        <v>3</v>
      </c>
      <c r="G19" s="30" t="inlineStr">
        <is>
          <t>Y</t>
        </is>
      </c>
      <c r="H19" s="38" t="inlineStr">
        <is>
          <t>Dextrose</t>
        </is>
      </c>
      <c r="I19" s="38" t="inlineStr">
        <is>
          <t>Ammonium sulfate</t>
        </is>
      </c>
      <c r="J19" s="30" t="inlineStr">
        <is>
          <t>Y</t>
        </is>
      </c>
      <c r="K19" s="30" t="n"/>
      <c r="L19" s="39" t="n"/>
    </row>
    <row r="21">
      <c r="A21" s="45" t="inlineStr">
        <is>
          <t>Sanity check</t>
        </is>
      </c>
    </row>
    <row r="22">
      <c r="A22" s="46" t="inlineStr">
        <is>
          <t>Rows with a Role filled in (want 15)</t>
        </is>
      </c>
      <c r="D22" s="47">
        <f>COUNTA(D5:D19)</f>
        <v/>
      </c>
    </row>
    <row r="23">
      <c r="A23" s="46" t="inlineStr">
        <is>
          <t>Plates marked 'sample' (want 12)</t>
        </is>
      </c>
      <c r="D23" s="47">
        <f>COUNTIF(D5:D19,"sample")</f>
        <v/>
      </c>
    </row>
    <row r="24">
      <c r="A24" s="46" t="inlineStr">
        <is>
          <t>Plates marked 'water' (want 1)</t>
        </is>
      </c>
      <c r="D24" s="47">
        <f>COUNTIF(D5:D19,"water")</f>
        <v/>
      </c>
    </row>
    <row r="25">
      <c r="A25" s="46" t="inlineStr">
        <is>
          <t>Plates marked 'contamination_control' (want 1)</t>
        </is>
      </c>
      <c r="D25" s="47">
        <f>COUNTIF(D5:D19,"contamination_control")</f>
        <v/>
      </c>
    </row>
    <row r="26">
      <c r="A26" s="46" t="inlineStr">
        <is>
          <t>Plates marked 'minus_variable_control' (want 1)</t>
        </is>
      </c>
      <c r="D26" s="47">
        <f>COUNTIF(D5:D19,"minus_variable_control")</f>
        <v/>
      </c>
    </row>
    <row r="27">
      <c r="A27" s="46" t="inlineStr">
        <is>
          <t>Sample plates with a strain assigned (want 12)</t>
        </is>
      </c>
      <c r="D27" s="47">
        <f>SUMPRODUCT((D5:D19="sample")*(E5:E19&lt;&gt;""))</f>
        <v/>
      </c>
    </row>
    <row r="28">
      <c r="A28" s="46" t="inlineStr">
        <is>
          <t>Sample plates with a replicate number (want 12)</t>
        </is>
      </c>
      <c r="D28" s="47">
        <f>SUMPRODUCT((D5:D19="sample")*(F5:F19&lt;&gt;""))</f>
        <v/>
      </c>
    </row>
    <row r="29">
      <c r="A29" s="46" t="inlineStr">
        <is>
          <t>Duplicate strain+replicate pairs (want 0)</t>
        </is>
      </c>
      <c r="D29" s="47">
        <f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G33" sqref="G33"/>
    </sheetView>
  </sheetViews>
  <sheetFormatPr baseColWidth="10" defaultColWidth="8.83203125" defaultRowHeight="15"/>
  <cols>
    <col width="9" customWidth="1" min="1" max="1"/>
    <col width="10" customWidth="1" min="2" max="2"/>
    <col width="9" customWidth="1" min="3" max="3"/>
    <col width="24" customWidth="1" min="4" max="4"/>
    <col width="16" customWidth="1" min="5" max="5"/>
    <col width="11" customWidth="1" min="6" max="6"/>
    <col width="9" customWidth="1" min="7" max="7"/>
    <col width="16" customWidth="1" min="8" max="8"/>
    <col width="18" customWidth="1" min="9" max="9"/>
    <col width="9" customWidth="1" min="10" max="10"/>
    <col width="15" customWidth="1" min="11" max="11"/>
    <col width="34" customWidth="1" min="12" max="12"/>
  </cols>
  <sheetData>
    <row r="1" ht="17" customHeight="1">
      <c r="A1" s="56" t="inlineStr">
        <is>
          <t>Plate map — Glutamate Ammonium Sulfate</t>
        </is>
      </c>
    </row>
    <row r="2">
      <c r="A2" s="57" t="inlineStr">
        <is>
          <t>Yellow cells = fill in. Grey cells = fixed. Row 4 is a worked EXAMPLE — the loader ignores it. DATA NOT YET COLLECTED.</t>
        </is>
      </c>
    </row>
    <row r="3" ht="28" customHeight="1">
      <c r="A3" s="51" t="inlineStr">
        <is>
          <t>Plate</t>
        </is>
      </c>
      <c r="B3" s="51" t="inlineStr">
        <is>
          <t>Grid_Row</t>
        </is>
      </c>
      <c r="C3" s="51" t="inlineStr">
        <is>
          <t>Grid_Col</t>
        </is>
      </c>
      <c r="D3" s="51" t="inlineStr">
        <is>
          <t>Role</t>
        </is>
      </c>
      <c r="E3" s="51" t="inlineStr">
        <is>
          <t>Strain</t>
        </is>
      </c>
      <c r="F3" s="51" t="inlineStr">
        <is>
          <t>Replicate</t>
        </is>
      </c>
      <c r="G3" s="51" t="inlineStr">
        <is>
          <t>Spores</t>
        </is>
      </c>
      <c r="H3" s="51" t="inlineStr">
        <is>
          <t>Carbon</t>
        </is>
      </c>
      <c r="I3" s="51" t="inlineStr">
        <is>
          <t>Nitrogen</t>
        </is>
      </c>
      <c r="J3" s="51" t="inlineStr">
        <is>
          <t>Include</t>
        </is>
      </c>
      <c r="K3" s="51" t="inlineStr">
        <is>
          <t>Baseline_Frame</t>
        </is>
      </c>
      <c r="L3" s="51" t="inlineStr">
        <is>
          <t>Notes</t>
        </is>
      </c>
    </row>
    <row r="4">
      <c r="A4" s="58" t="inlineStr">
        <is>
          <t>EXAMPLE</t>
        </is>
      </c>
      <c r="B4" s="58" t="n">
        <v>1</v>
      </c>
      <c r="C4" s="58" t="inlineStr">
        <is>
          <t>A</t>
        </is>
      </c>
      <c r="D4" s="58" t="inlineStr">
        <is>
          <t>sample</t>
        </is>
      </c>
      <c r="E4" s="58" t="inlineStr">
        <is>
          <t>STRAIN_1</t>
        </is>
      </c>
      <c r="F4" s="58" t="n">
        <v>1</v>
      </c>
      <c r="G4" s="58" t="inlineStr">
        <is>
          <t>Y</t>
        </is>
      </c>
      <c r="H4" s="58" t="inlineStr">
        <is>
          <t>Glutamate</t>
        </is>
      </c>
      <c r="I4" s="58" t="inlineStr">
        <is>
          <t>Ammonium sulfate</t>
        </is>
      </c>
      <c r="J4" s="58" t="inlineStr">
        <is>
          <t>Y</t>
        </is>
      </c>
      <c r="K4" s="58" t="inlineStr">
        <is>
          <t>auto</t>
        </is>
      </c>
      <c r="L4" s="58" t="inlineStr">
        <is>
          <t>example only — loader skips this row</t>
        </is>
      </c>
    </row>
    <row r="5">
      <c r="A5" s="59" t="inlineStr">
        <is>
          <t>A1</t>
        </is>
      </c>
      <c r="B5" s="60" t="n">
        <v>1</v>
      </c>
      <c r="C5" s="60" t="inlineStr">
        <is>
          <t>A</t>
        </is>
      </c>
      <c r="D5" s="53" t="inlineStr">
        <is>
          <t>sample</t>
        </is>
      </c>
      <c r="E5" s="53" t="inlineStr">
        <is>
          <t>NH</t>
        </is>
      </c>
      <c r="F5" s="53" t="n">
        <v>1</v>
      </c>
      <c r="G5" s="53" t="inlineStr">
        <is>
          <t>Y</t>
        </is>
      </c>
      <c r="H5" s="61" t="inlineStr">
        <is>
          <t>Glutamate</t>
        </is>
      </c>
      <c r="I5" s="61" t="inlineStr">
        <is>
          <t>Ammonium sulfate</t>
        </is>
      </c>
      <c r="J5" s="53" t="inlineStr">
        <is>
          <t>Y</t>
        </is>
      </c>
      <c r="K5" s="53" t="n"/>
      <c r="L5" s="62" t="n"/>
    </row>
    <row r="6">
      <c r="A6" s="59" t="inlineStr">
        <is>
          <t>B1</t>
        </is>
      </c>
      <c r="B6" s="60" t="n">
        <v>1</v>
      </c>
      <c r="C6" s="60" t="inlineStr">
        <is>
          <t>B</t>
        </is>
      </c>
      <c r="D6" s="53" t="inlineStr">
        <is>
          <t>sample</t>
        </is>
      </c>
      <c r="E6" s="53" t="inlineStr">
        <is>
          <t>B2002</t>
        </is>
      </c>
      <c r="F6" s="53" t="n">
        <v>1</v>
      </c>
      <c r="G6" s="53" t="inlineStr">
        <is>
          <t>Y</t>
        </is>
      </c>
      <c r="H6" s="61" t="inlineStr">
        <is>
          <t>Glutamate</t>
        </is>
      </c>
      <c r="I6" s="61" t="inlineStr">
        <is>
          <t>Ammonium sulfate</t>
        </is>
      </c>
      <c r="J6" s="53" t="inlineStr">
        <is>
          <t>Y</t>
        </is>
      </c>
      <c r="K6" s="53" t="n"/>
      <c r="L6" s="62" t="n"/>
    </row>
    <row r="7">
      <c r="A7" s="59" t="inlineStr">
        <is>
          <t>C1</t>
        </is>
      </c>
      <c r="B7" s="60" t="n">
        <v>1</v>
      </c>
      <c r="C7" s="60" t="inlineStr">
        <is>
          <t>C</t>
        </is>
      </c>
      <c r="D7" s="53" t="inlineStr">
        <is>
          <t>sample</t>
        </is>
      </c>
      <c r="E7" s="53" t="n">
        <v>6205</v>
      </c>
      <c r="F7" s="53" t="n">
        <v>1</v>
      </c>
      <c r="G7" s="53" t="inlineStr">
        <is>
          <t>Y</t>
        </is>
      </c>
      <c r="H7" s="61" t="inlineStr">
        <is>
          <t>Glutamate</t>
        </is>
      </c>
      <c r="I7" s="61" t="inlineStr">
        <is>
          <t>Ammonium sulfate</t>
        </is>
      </c>
      <c r="J7" s="53" t="inlineStr">
        <is>
          <t>Y</t>
        </is>
      </c>
      <c r="K7" s="53" t="n"/>
      <c r="L7" s="62" t="n"/>
    </row>
    <row r="8">
      <c r="A8" s="59" t="inlineStr">
        <is>
          <t>D1</t>
        </is>
      </c>
      <c r="B8" s="60" t="n">
        <v>1</v>
      </c>
      <c r="C8" s="60" t="inlineStr">
        <is>
          <t>D</t>
        </is>
      </c>
      <c r="D8" s="53" t="inlineStr">
        <is>
          <t>sample</t>
        </is>
      </c>
      <c r="E8" s="53" t="inlineStr">
        <is>
          <t>UM1</t>
        </is>
      </c>
      <c r="F8" s="53" t="n">
        <v>1</v>
      </c>
      <c r="G8" s="53" t="inlineStr">
        <is>
          <t>Y</t>
        </is>
      </c>
      <c r="H8" s="61" t="inlineStr">
        <is>
          <t>Glutamate</t>
        </is>
      </c>
      <c r="I8" s="61" t="inlineStr">
        <is>
          <t>Ammonium sulfate</t>
        </is>
      </c>
      <c r="J8" s="53" t="inlineStr">
        <is>
          <t>Y</t>
        </is>
      </c>
      <c r="K8" s="53" t="n"/>
      <c r="L8" s="62" t="n"/>
    </row>
    <row r="9">
      <c r="A9" s="59" t="inlineStr">
        <is>
          <t>E1</t>
        </is>
      </c>
      <c r="B9" s="60" t="n">
        <v>1</v>
      </c>
      <c r="C9" s="60" t="inlineStr">
        <is>
          <t>E</t>
        </is>
      </c>
      <c r="D9" s="53" t="inlineStr">
        <is>
          <t>minus_variable_control</t>
        </is>
      </c>
      <c r="E9" s="53" t="inlineStr">
        <is>
          <t>NH</t>
        </is>
      </c>
      <c r="F9" s="53" t="n"/>
      <c r="G9" s="53" t="inlineStr">
        <is>
          <t>Y</t>
        </is>
      </c>
      <c r="H9" s="61" t="inlineStr">
        <is>
          <t>Glutamate</t>
        </is>
      </c>
      <c r="I9" s="61" t="inlineStr">
        <is>
          <t>Ammonium sulfate</t>
        </is>
      </c>
      <c r="J9" s="53" t="inlineStr">
        <is>
          <t>Y</t>
        </is>
      </c>
      <c r="K9" s="53" t="n"/>
      <c r="L9" s="62" t="n"/>
    </row>
    <row r="10">
      <c r="A10" s="63" t="inlineStr">
        <is>
          <t>A2</t>
        </is>
      </c>
      <c r="B10" s="64" t="n">
        <v>2</v>
      </c>
      <c r="C10" s="64" t="inlineStr">
        <is>
          <t>A</t>
        </is>
      </c>
      <c r="D10" s="65" t="inlineStr">
        <is>
          <t>sample</t>
        </is>
      </c>
      <c r="E10" s="65" t="inlineStr">
        <is>
          <t>UM1</t>
        </is>
      </c>
      <c r="F10" s="65" t="n">
        <v>2</v>
      </c>
      <c r="G10" s="65" t="inlineStr">
        <is>
          <t>Y</t>
        </is>
      </c>
      <c r="H10" s="66" t="inlineStr">
        <is>
          <t>Glutamate</t>
        </is>
      </c>
      <c r="I10" s="66" t="inlineStr">
        <is>
          <t>Ammonium sulfate</t>
        </is>
      </c>
      <c r="J10" s="65" t="inlineStr">
        <is>
          <t>Y</t>
        </is>
      </c>
      <c r="K10" s="65" t="n"/>
      <c r="L10" s="67" t="n"/>
    </row>
    <row r="11">
      <c r="A11" s="59" t="inlineStr">
        <is>
          <t>B2</t>
        </is>
      </c>
      <c r="B11" s="60" t="n">
        <v>2</v>
      </c>
      <c r="C11" s="60" t="inlineStr">
        <is>
          <t>B</t>
        </is>
      </c>
      <c r="D11" s="53" t="inlineStr">
        <is>
          <t>sample</t>
        </is>
      </c>
      <c r="E11" s="53" t="inlineStr">
        <is>
          <t>NH</t>
        </is>
      </c>
      <c r="F11" s="53" t="n">
        <v>2</v>
      </c>
      <c r="G11" s="53" t="inlineStr">
        <is>
          <t>Y</t>
        </is>
      </c>
      <c r="H11" s="61" t="inlineStr">
        <is>
          <t>Glutamate</t>
        </is>
      </c>
      <c r="I11" s="61" t="inlineStr">
        <is>
          <t>Ammonium sulfate</t>
        </is>
      </c>
      <c r="J11" s="53" t="inlineStr">
        <is>
          <t>Y</t>
        </is>
      </c>
      <c r="K11" s="53" t="n"/>
      <c r="L11" s="62" t="n"/>
    </row>
    <row r="12">
      <c r="A12" s="59" t="inlineStr">
        <is>
          <t>C2</t>
        </is>
      </c>
      <c r="B12" s="60" t="n">
        <v>2</v>
      </c>
      <c r="C12" s="60" t="inlineStr">
        <is>
          <t>C</t>
        </is>
      </c>
      <c r="D12" s="53" t="inlineStr">
        <is>
          <t>water</t>
        </is>
      </c>
      <c r="E12" s="53" t="n"/>
      <c r="F12" s="53" t="n"/>
      <c r="G12" s="53" t="inlineStr">
        <is>
          <t>N</t>
        </is>
      </c>
      <c r="H12" s="61" t="inlineStr">
        <is>
          <t>Glutamate</t>
        </is>
      </c>
      <c r="I12" s="61" t="inlineStr">
        <is>
          <t>Ammonium sulfate</t>
        </is>
      </c>
      <c r="J12" s="53" t="inlineStr">
        <is>
          <t>N</t>
        </is>
      </c>
      <c r="K12" s="53" t="n"/>
      <c r="L12" s="62" t="n"/>
    </row>
    <row r="13">
      <c r="A13" s="59" t="inlineStr">
        <is>
          <t>D2</t>
        </is>
      </c>
      <c r="B13" s="60" t="n">
        <v>2</v>
      </c>
      <c r="C13" s="60" t="inlineStr">
        <is>
          <t>D</t>
        </is>
      </c>
      <c r="D13" s="53" t="inlineStr">
        <is>
          <t>sample</t>
        </is>
      </c>
      <c r="E13" s="53" t="inlineStr">
        <is>
          <t>B2002</t>
        </is>
      </c>
      <c r="F13" s="53" t="n">
        <v>2</v>
      </c>
      <c r="G13" s="53" t="inlineStr">
        <is>
          <t>Y</t>
        </is>
      </c>
      <c r="H13" s="61" t="inlineStr">
        <is>
          <t>Glutamate</t>
        </is>
      </c>
      <c r="I13" s="61" t="inlineStr">
        <is>
          <t>Ammonium sulfate</t>
        </is>
      </c>
      <c r="J13" s="53" t="inlineStr">
        <is>
          <t>Y</t>
        </is>
      </c>
      <c r="K13" s="53" t="n"/>
      <c r="L13" s="62" t="n"/>
    </row>
    <row r="14">
      <c r="A14" s="59" t="inlineStr">
        <is>
          <t>E2</t>
        </is>
      </c>
      <c r="B14" s="60" t="n">
        <v>2</v>
      </c>
      <c r="C14" s="60" t="inlineStr">
        <is>
          <t>E</t>
        </is>
      </c>
      <c r="D14" s="53" t="inlineStr">
        <is>
          <t>sample</t>
        </is>
      </c>
      <c r="E14" s="53" t="n">
        <v>6205</v>
      </c>
      <c r="F14" s="53" t="n">
        <v>2</v>
      </c>
      <c r="G14" s="53" t="inlineStr">
        <is>
          <t>Y</t>
        </is>
      </c>
      <c r="H14" s="61" t="inlineStr">
        <is>
          <t>Glutamate</t>
        </is>
      </c>
      <c r="I14" s="61" t="inlineStr">
        <is>
          <t>Ammonium sulfate</t>
        </is>
      </c>
      <c r="J14" s="53" t="inlineStr">
        <is>
          <t>Y</t>
        </is>
      </c>
      <c r="K14" s="53" t="n"/>
      <c r="L14" s="62" t="n"/>
    </row>
    <row r="15">
      <c r="A15" s="63" t="inlineStr">
        <is>
          <t>A3</t>
        </is>
      </c>
      <c r="B15" s="64" t="n">
        <v>3</v>
      </c>
      <c r="C15" s="64" t="inlineStr">
        <is>
          <t>A</t>
        </is>
      </c>
      <c r="D15" s="65" t="inlineStr">
        <is>
          <t>sample</t>
        </is>
      </c>
      <c r="E15" s="65" t="inlineStr">
        <is>
          <t>B2002</t>
        </is>
      </c>
      <c r="F15" s="65" t="n">
        <v>3</v>
      </c>
      <c r="G15" s="65" t="inlineStr">
        <is>
          <t>Y</t>
        </is>
      </c>
      <c r="H15" s="66" t="inlineStr">
        <is>
          <t>Glutamate</t>
        </is>
      </c>
      <c r="I15" s="66" t="inlineStr">
        <is>
          <t>Ammonium sulfate</t>
        </is>
      </c>
      <c r="J15" s="65" t="inlineStr">
        <is>
          <t>Y</t>
        </is>
      </c>
      <c r="K15" s="65" t="n"/>
      <c r="L15" s="67" t="n"/>
    </row>
    <row r="16">
      <c r="A16" s="59" t="inlineStr">
        <is>
          <t>B3</t>
        </is>
      </c>
      <c r="B16" s="60" t="n">
        <v>3</v>
      </c>
      <c r="C16" s="60" t="inlineStr">
        <is>
          <t>B</t>
        </is>
      </c>
      <c r="D16" s="53" t="inlineStr">
        <is>
          <t>sample</t>
        </is>
      </c>
      <c r="E16" s="53" t="n">
        <v>6205</v>
      </c>
      <c r="F16" s="53" t="n">
        <v>3</v>
      </c>
      <c r="G16" s="53" t="inlineStr">
        <is>
          <t>Y</t>
        </is>
      </c>
      <c r="H16" s="61" t="inlineStr">
        <is>
          <t>Glutamate</t>
        </is>
      </c>
      <c r="I16" s="61" t="inlineStr">
        <is>
          <t>Ammonium sulfate</t>
        </is>
      </c>
      <c r="J16" s="53" t="inlineStr">
        <is>
          <t>Y</t>
        </is>
      </c>
      <c r="K16" s="53" t="n"/>
      <c r="L16" s="62" t="n"/>
    </row>
    <row r="17">
      <c r="A17" s="59" t="inlineStr">
        <is>
          <t>C3</t>
        </is>
      </c>
      <c r="B17" s="60" t="n">
        <v>3</v>
      </c>
      <c r="C17" s="60" t="inlineStr">
        <is>
          <t>C</t>
        </is>
      </c>
      <c r="D17" s="53" t="inlineStr">
        <is>
          <t>sample</t>
        </is>
      </c>
      <c r="E17" s="53" t="inlineStr">
        <is>
          <t>UM1</t>
        </is>
      </c>
      <c r="F17" s="53" t="n">
        <v>3</v>
      </c>
      <c r="G17" s="53" t="inlineStr">
        <is>
          <t>Y</t>
        </is>
      </c>
      <c r="H17" s="61" t="inlineStr">
        <is>
          <t>Glutamate</t>
        </is>
      </c>
      <c r="I17" s="61" t="inlineStr">
        <is>
          <t>Ammonium sulfate</t>
        </is>
      </c>
      <c r="J17" s="53" t="inlineStr">
        <is>
          <t>Y</t>
        </is>
      </c>
      <c r="K17" s="53" t="n"/>
      <c r="L17" s="62" t="n"/>
    </row>
    <row r="18">
      <c r="A18" s="59" t="inlineStr">
        <is>
          <t>D3</t>
        </is>
      </c>
      <c r="B18" s="60" t="n">
        <v>3</v>
      </c>
      <c r="C18" s="60" t="inlineStr">
        <is>
          <t>D</t>
        </is>
      </c>
      <c r="D18" s="53" t="inlineStr">
        <is>
          <t>contamination_control</t>
        </is>
      </c>
      <c r="E18" s="53" t="n"/>
      <c r="F18" s="53" t="n"/>
      <c r="G18" s="53" t="inlineStr">
        <is>
          <t>N</t>
        </is>
      </c>
      <c r="H18" s="61" t="inlineStr">
        <is>
          <t>Glutamate</t>
        </is>
      </c>
      <c r="I18" s="61" t="inlineStr">
        <is>
          <t>Ammonium sulfate</t>
        </is>
      </c>
      <c r="J18" s="53" t="inlineStr">
        <is>
          <t>Y</t>
        </is>
      </c>
      <c r="K18" s="53" t="n"/>
      <c r="L18" s="62" t="n"/>
    </row>
    <row r="19">
      <c r="A19" s="59" t="inlineStr">
        <is>
          <t>E3</t>
        </is>
      </c>
      <c r="B19" s="60" t="n">
        <v>3</v>
      </c>
      <c r="C19" s="60" t="inlineStr">
        <is>
          <t>E</t>
        </is>
      </c>
      <c r="D19" s="53" t="inlineStr">
        <is>
          <t>sample</t>
        </is>
      </c>
      <c r="E19" s="53" t="inlineStr">
        <is>
          <t>NH</t>
        </is>
      </c>
      <c r="F19" s="53" t="n">
        <v>3</v>
      </c>
      <c r="G19" s="53" t="inlineStr">
        <is>
          <t>Y</t>
        </is>
      </c>
      <c r="H19" s="61" t="inlineStr">
        <is>
          <t>Glutamate</t>
        </is>
      </c>
      <c r="I19" s="61" t="inlineStr">
        <is>
          <t>Ammonium sulfate</t>
        </is>
      </c>
      <c r="J19" s="53" t="inlineStr">
        <is>
          <t>Y</t>
        </is>
      </c>
      <c r="K19" s="53" t="n"/>
      <c r="L19" s="62" t="n"/>
    </row>
    <row r="21">
      <c r="A21" s="68" t="inlineStr">
        <is>
          <t>Sanity check</t>
        </is>
      </c>
    </row>
    <row r="22">
      <c r="A22" s="69" t="inlineStr">
        <is>
          <t>Rows with a Role filled in (want 15)</t>
        </is>
      </c>
      <c r="D22" s="70">
        <f>COUNTA(D5:D19)</f>
        <v/>
      </c>
    </row>
    <row r="23">
      <c r="A23" s="69" t="inlineStr">
        <is>
          <t>Plates marked 'sample' (want 12)</t>
        </is>
      </c>
      <c r="D23" s="70">
        <f>COUNTIF(D5:D19,"sample")</f>
        <v/>
      </c>
    </row>
    <row r="24">
      <c r="A24" s="69" t="inlineStr">
        <is>
          <t>Plates marked 'water' (want 1)</t>
        </is>
      </c>
      <c r="D24" s="70">
        <f>COUNTIF(D5:D19,"water")</f>
        <v/>
      </c>
    </row>
    <row r="25">
      <c r="A25" s="69" t="inlineStr">
        <is>
          <t>Plates marked 'contamination_control' (want 1)</t>
        </is>
      </c>
      <c r="D25" s="70">
        <f>COUNTIF(D5:D19,"contamination_control")</f>
        <v/>
      </c>
    </row>
    <row r="26">
      <c r="A26" s="69" t="inlineStr">
        <is>
          <t>Plates marked 'minus_variable_control' (want 1)</t>
        </is>
      </c>
      <c r="D26" s="70">
        <f>COUNTIF(D5:D19,"minus_variable_control")</f>
        <v/>
      </c>
    </row>
    <row r="27">
      <c r="A27" s="69" t="inlineStr">
        <is>
          <t>Sample plates with a strain assigned (want 12)</t>
        </is>
      </c>
      <c r="D27" s="70">
        <f>SUMPRODUCT((D5:D19="sample")*(E5:E19&lt;&gt;""))</f>
        <v/>
      </c>
    </row>
    <row r="28">
      <c r="A28" s="69" t="inlineStr">
        <is>
          <t>Sample plates with a replicate number (want 12)</t>
        </is>
      </c>
      <c r="D28" s="70">
        <f>SUMPRODUCT((D5:D19="sample")*(F5:F19&lt;&gt;""))</f>
        <v/>
      </c>
    </row>
    <row r="29">
      <c r="A29" s="69" t="inlineStr">
        <is>
          <t>Duplicate strain+replicate pairs (want 0)</t>
        </is>
      </c>
      <c r="D29" s="70">
        <f>SUMPRODUCT((D5:D19="sample")*(E5:E19&lt;&gt;"")*(COUNTIFS(E5:E19,E5:E19,F5:F19,F5:F19,D5:D19,"sample")&gt;1))</f>
        <v/>
      </c>
    </row>
  </sheetData>
  <dataValidations count="4">
    <dataValidation sqref="D5:D19" showDropDown="0" showInputMessage="0" showErrorMessage="0" allowBlank="1" type="list">
      <formula1>"sample,water,contamination_control,minus_variable_control,unused"</formula1>
    </dataValidation>
    <dataValidation sqref="F5:F19" showDropDown="0" showInputMessage="0" showErrorMessage="0" allowBlank="1" type="list">
      <formula1>"1,2,3,4,5,6"</formula1>
    </dataValidation>
    <dataValidation sqref="G5:G19 J5:J19" showDropDown="0" showInputMessage="0" showErrorMessage="0" allowBlank="1" type="list">
      <formula1>"Y,N"</formula1>
    </dataValidation>
    <dataValidation sqref="K5:K19" showDropDown="0" showInputMessage="0" showErrorMessage="0" allowBlank="1" type="list">
      <formula1>"auto,0,1,2,3,4,5,6,7,8"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2026-07-30T08:58:07Z</dcterms:created>
  <dcterms:modified xmlns:dcterms="http://purl.org/dc/terms/" xmlns:xsi="http://www.w3.org/2001/XMLSchema-instance" xsi:type="dcterms:W3CDTF">2026-08-12T12:43:33Z</dcterms:modified>
  <cp:lastModifiedBy>Porteus, Wilson S</cp:lastModifiedBy>
</cp:coreProperties>
</file>